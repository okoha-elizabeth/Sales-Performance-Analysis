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USER\Desktop\Analysis\cleaned data\Sales Analysis\"/>
    </mc:Choice>
  </mc:AlternateContent>
  <xr:revisionPtr revIDLastSave="0" documentId="13_ncr:1_{1941CD8E-0958-42CA-A639-EBE50704FC9B}" xr6:coauthVersionLast="47" xr6:coauthVersionMax="47" xr10:uidLastSave="{00000000-0000-0000-0000-000000000000}"/>
  <bookViews>
    <workbookView xWindow="-110" yWindow="-110" windowWidth="19420" windowHeight="10300" xr2:uid="{02703B59-B73D-4B07-8E96-272F1349624C}"/>
  </bookViews>
  <sheets>
    <sheet name="PROJECT OVERVIEW" sheetId="14" r:id="rId1"/>
    <sheet name="DASHBOARD" sheetId="17" r:id="rId2"/>
    <sheet name="INSIGHTS" sheetId="15" r:id="rId3"/>
    <sheet name="CLEANED DATA" sheetId="2" r:id="rId4"/>
    <sheet name="RAW DATA" sheetId="1" r:id="rId5"/>
    <sheet name="PIVOT TABLES" sheetId="11" state="hidden" r:id="rId6"/>
    <sheet name="CHARTS" sheetId="13" state="hidden" r:id="rId7"/>
  </sheets>
  <definedNames>
    <definedName name="Slicer_Month">#N/A</definedName>
    <definedName name="Slicer_Year">#N/A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17" l="1"/>
  <c r="D7" i="17"/>
  <c r="B7" i="17"/>
  <c r="G67" i="2"/>
  <c r="F67" i="2"/>
  <c r="E67" i="2"/>
  <c r="D67" i="2"/>
  <c r="C67" i="2"/>
  <c r="G54" i="2"/>
  <c r="F54" i="2"/>
  <c r="E54" i="2"/>
  <c r="D54" i="2"/>
  <c r="C54" i="2"/>
  <c r="G41" i="2"/>
  <c r="F41" i="2"/>
  <c r="E41" i="2"/>
  <c r="D41" i="2"/>
  <c r="C41" i="2"/>
  <c r="G28" i="2"/>
  <c r="F28" i="2"/>
  <c r="E28" i="2"/>
  <c r="D28" i="2"/>
  <c r="C28" i="2"/>
  <c r="G15" i="2"/>
  <c r="F15" i="2"/>
  <c r="E15" i="2"/>
  <c r="D15" i="2"/>
  <c r="C15" i="2"/>
  <c r="C68" i="2" l="1"/>
  <c r="F68" i="2"/>
  <c r="D68" i="2"/>
  <c r="E68" i="2"/>
  <c r="G68" i="2"/>
  <c r="L5" i="2"/>
  <c r="L6" i="2"/>
  <c r="L7" i="2"/>
  <c r="L8" i="2"/>
  <c r="L9" i="2"/>
  <c r="L10" i="2"/>
  <c r="L11" i="2"/>
  <c r="L12" i="2"/>
  <c r="L13" i="2"/>
  <c r="L14" i="2"/>
  <c r="L16" i="2"/>
  <c r="L17" i="2"/>
  <c r="L18" i="2"/>
  <c r="L19" i="2"/>
  <c r="L20" i="2"/>
  <c r="L21" i="2"/>
  <c r="L22" i="2"/>
  <c r="L23" i="2"/>
  <c r="L24" i="2"/>
  <c r="L25" i="2"/>
  <c r="L26" i="2"/>
  <c r="L27" i="2"/>
  <c r="L29" i="2"/>
  <c r="L30" i="2"/>
  <c r="L31" i="2"/>
  <c r="L32" i="2"/>
  <c r="L33" i="2"/>
  <c r="L34" i="2"/>
  <c r="L35" i="2"/>
  <c r="L36" i="2"/>
  <c r="L37" i="2"/>
  <c r="L38" i="2"/>
  <c r="L39" i="2"/>
  <c r="L40" i="2"/>
  <c r="L42" i="2"/>
  <c r="L43" i="2"/>
  <c r="L44" i="2"/>
  <c r="L45" i="2"/>
  <c r="L46" i="2"/>
  <c r="L47" i="2"/>
  <c r="L48" i="2"/>
  <c r="L49" i="2"/>
  <c r="L50" i="2"/>
  <c r="L51" i="2"/>
  <c r="L52" i="2"/>
  <c r="L53" i="2"/>
  <c r="L55" i="2"/>
  <c r="L56" i="2"/>
  <c r="L57" i="2"/>
  <c r="L58" i="2"/>
  <c r="L59" i="2"/>
  <c r="L60" i="2"/>
  <c r="L61" i="2"/>
  <c r="L62" i="2"/>
  <c r="L63" i="2"/>
  <c r="L64" i="2"/>
  <c r="L65" i="2"/>
  <c r="L66" i="2"/>
  <c r="L4" i="2"/>
  <c r="I3" i="2"/>
  <c r="I4" i="2"/>
  <c r="J4" i="2" s="1"/>
  <c r="I5" i="2"/>
  <c r="J5" i="2" s="1"/>
  <c r="I6" i="2"/>
  <c r="J6" i="2" s="1"/>
  <c r="I7" i="2"/>
  <c r="J7" i="2" s="1"/>
  <c r="I8" i="2"/>
  <c r="J8" i="2" s="1"/>
  <c r="I9" i="2"/>
  <c r="J9" i="2" s="1"/>
  <c r="I10" i="2"/>
  <c r="J10" i="2" s="1"/>
  <c r="I11" i="2"/>
  <c r="J11" i="2" s="1"/>
  <c r="I12" i="2"/>
  <c r="J12" i="2" s="1"/>
  <c r="I13" i="2"/>
  <c r="J13" i="2" s="1"/>
  <c r="I14" i="2"/>
  <c r="J14" i="2" s="1"/>
  <c r="I16" i="2"/>
  <c r="I17" i="2"/>
  <c r="J17" i="2" s="1"/>
  <c r="I18" i="2"/>
  <c r="J18" i="2" s="1"/>
  <c r="I19" i="2"/>
  <c r="J19" i="2" s="1"/>
  <c r="I20" i="2"/>
  <c r="J20" i="2" s="1"/>
  <c r="I21" i="2"/>
  <c r="J21" i="2" s="1"/>
  <c r="I22" i="2"/>
  <c r="J22" i="2" s="1"/>
  <c r="I23" i="2"/>
  <c r="J23" i="2" s="1"/>
  <c r="I24" i="2"/>
  <c r="J24" i="2" s="1"/>
  <c r="I25" i="2"/>
  <c r="J25" i="2" s="1"/>
  <c r="I26" i="2"/>
  <c r="J26" i="2" s="1"/>
  <c r="I27" i="2"/>
  <c r="J27" i="2" s="1"/>
  <c r="I29" i="2"/>
  <c r="I30" i="2"/>
  <c r="J30" i="2" s="1"/>
  <c r="I31" i="2"/>
  <c r="J31" i="2" s="1"/>
  <c r="I32" i="2"/>
  <c r="J32" i="2" s="1"/>
  <c r="I33" i="2"/>
  <c r="J33" i="2" s="1"/>
  <c r="I34" i="2"/>
  <c r="J34" i="2" s="1"/>
  <c r="I35" i="2"/>
  <c r="J35" i="2" s="1"/>
  <c r="I36" i="2"/>
  <c r="J36" i="2" s="1"/>
  <c r="I37" i="2"/>
  <c r="J37" i="2" s="1"/>
  <c r="I38" i="2"/>
  <c r="J38" i="2" s="1"/>
  <c r="I39" i="2"/>
  <c r="J39" i="2" s="1"/>
  <c r="I40" i="2"/>
  <c r="J40" i="2" s="1"/>
  <c r="I42" i="2"/>
  <c r="I43" i="2"/>
  <c r="J43" i="2" s="1"/>
  <c r="I44" i="2"/>
  <c r="J44" i="2" s="1"/>
  <c r="I45" i="2"/>
  <c r="J45" i="2" s="1"/>
  <c r="I46" i="2"/>
  <c r="J46" i="2" s="1"/>
  <c r="I47" i="2"/>
  <c r="J47" i="2" s="1"/>
  <c r="I48" i="2"/>
  <c r="J48" i="2" s="1"/>
  <c r="I49" i="2"/>
  <c r="J49" i="2" s="1"/>
  <c r="I50" i="2"/>
  <c r="J50" i="2" s="1"/>
  <c r="I51" i="2"/>
  <c r="J51" i="2" s="1"/>
  <c r="I52" i="2"/>
  <c r="J52" i="2" s="1"/>
  <c r="I53" i="2"/>
  <c r="J53" i="2" s="1"/>
  <c r="I55" i="2"/>
  <c r="I56" i="2"/>
  <c r="J56" i="2" s="1"/>
  <c r="I57" i="2"/>
  <c r="J57" i="2" s="1"/>
  <c r="I58" i="2"/>
  <c r="J58" i="2" s="1"/>
  <c r="I59" i="2"/>
  <c r="J59" i="2" s="1"/>
  <c r="I60" i="2"/>
  <c r="J60" i="2" s="1"/>
  <c r="I61" i="2"/>
  <c r="J61" i="2" s="1"/>
  <c r="I62" i="2"/>
  <c r="J62" i="2" s="1"/>
  <c r="I63" i="2"/>
  <c r="J63" i="2" s="1"/>
  <c r="I64" i="2"/>
  <c r="J64" i="2" s="1"/>
  <c r="I65" i="2"/>
  <c r="J65" i="2" s="1"/>
  <c r="I66" i="2"/>
  <c r="J66" i="2" s="1"/>
  <c r="H3" i="2"/>
  <c r="H4" i="2"/>
  <c r="H5" i="2"/>
  <c r="H6" i="2"/>
  <c r="H7" i="2"/>
  <c r="H8" i="2"/>
  <c r="H9" i="2"/>
  <c r="H10" i="2"/>
  <c r="H11" i="2"/>
  <c r="H12" i="2"/>
  <c r="H13" i="2"/>
  <c r="H14" i="2"/>
  <c r="H16" i="2"/>
  <c r="H17" i="2"/>
  <c r="H18" i="2"/>
  <c r="H19" i="2"/>
  <c r="H20" i="2"/>
  <c r="H21" i="2"/>
  <c r="H22" i="2"/>
  <c r="H23" i="2"/>
  <c r="H24" i="2"/>
  <c r="H25" i="2"/>
  <c r="H26" i="2"/>
  <c r="H27" i="2"/>
  <c r="H29" i="2"/>
  <c r="H30" i="2"/>
  <c r="H31" i="2"/>
  <c r="H32" i="2"/>
  <c r="H33" i="2"/>
  <c r="H34" i="2"/>
  <c r="H35" i="2"/>
  <c r="H36" i="2"/>
  <c r="H37" i="2"/>
  <c r="H38" i="2"/>
  <c r="H39" i="2"/>
  <c r="H40" i="2"/>
  <c r="H42" i="2"/>
  <c r="H43" i="2"/>
  <c r="H44" i="2"/>
  <c r="H45" i="2"/>
  <c r="H46" i="2"/>
  <c r="H47" i="2"/>
  <c r="H48" i="2"/>
  <c r="H49" i="2"/>
  <c r="H50" i="2"/>
  <c r="H51" i="2"/>
  <c r="H52" i="2"/>
  <c r="H53" i="2"/>
  <c r="H55" i="2"/>
  <c r="H56" i="2"/>
  <c r="H57" i="2"/>
  <c r="H58" i="2"/>
  <c r="H59" i="2"/>
  <c r="H60" i="2"/>
  <c r="H61" i="2"/>
  <c r="H62" i="2"/>
  <c r="H63" i="2"/>
  <c r="H64" i="2"/>
  <c r="H65" i="2"/>
  <c r="H66" i="2"/>
  <c r="H67" i="2" l="1"/>
  <c r="H54" i="2"/>
  <c r="H28" i="2"/>
  <c r="H15" i="2"/>
  <c r="I67" i="2"/>
  <c r="I54" i="2"/>
  <c r="I41" i="2"/>
  <c r="I28" i="2"/>
  <c r="I15" i="2"/>
  <c r="H41" i="2"/>
  <c r="J3" i="2"/>
  <c r="J55" i="2"/>
  <c r="J67" i="2" s="1"/>
  <c r="J42" i="2"/>
  <c r="J54" i="2" s="1"/>
  <c r="J29" i="2"/>
  <c r="J41" i="2" s="1"/>
  <c r="J16" i="2"/>
  <c r="K66" i="2"/>
  <c r="K62" i="2"/>
  <c r="K58" i="2"/>
  <c r="K53" i="2"/>
  <c r="K49" i="2"/>
  <c r="K45" i="2"/>
  <c r="K40" i="2"/>
  <c r="K36" i="2"/>
  <c r="K32" i="2"/>
  <c r="K27" i="2"/>
  <c r="K23" i="2"/>
  <c r="K19" i="2"/>
  <c r="K14" i="2"/>
  <c r="K10" i="2"/>
  <c r="K6" i="2"/>
  <c r="K65" i="2"/>
  <c r="K61" i="2"/>
  <c r="K57" i="2"/>
  <c r="K52" i="2"/>
  <c r="K48" i="2"/>
  <c r="K44" i="2"/>
  <c r="K39" i="2"/>
  <c r="K35" i="2"/>
  <c r="K31" i="2"/>
  <c r="K26" i="2"/>
  <c r="K22" i="2"/>
  <c r="K18" i="2"/>
  <c r="K13" i="2"/>
  <c r="K9" i="2"/>
  <c r="K5" i="2"/>
  <c r="K64" i="2"/>
  <c r="K60" i="2"/>
  <c r="K56" i="2"/>
  <c r="K51" i="2"/>
  <c r="K47" i="2"/>
  <c r="K43" i="2"/>
  <c r="K38" i="2"/>
  <c r="K34" i="2"/>
  <c r="K30" i="2"/>
  <c r="K25" i="2"/>
  <c r="K21" i="2"/>
  <c r="K17" i="2"/>
  <c r="K12" i="2"/>
  <c r="K8" i="2"/>
  <c r="K4" i="2"/>
  <c r="K63" i="2"/>
  <c r="K59" i="2"/>
  <c r="K50" i="2"/>
  <c r="K46" i="2"/>
  <c r="K37" i="2"/>
  <c r="K33" i="2"/>
  <c r="K24" i="2"/>
  <c r="K20" i="2"/>
  <c r="K11" i="2"/>
  <c r="K7" i="2"/>
  <c r="H68" i="2" l="1"/>
  <c r="I68" i="2"/>
  <c r="K16" i="2"/>
  <c r="J28" i="2"/>
  <c r="J15" i="2"/>
  <c r="K55" i="2"/>
  <c r="K29" i="2"/>
  <c r="K3" i="2"/>
  <c r="J7" i="17" s="1"/>
  <c r="K42" i="2"/>
  <c r="J68" i="2" l="1"/>
</calcChain>
</file>

<file path=xl/sharedStrings.xml><?xml version="1.0" encoding="utf-8"?>
<sst xmlns="http://schemas.openxmlformats.org/spreadsheetml/2006/main" count="275" uniqueCount="106">
  <si>
    <t>Jan</t>
  </si>
  <si>
    <t>Feb</t>
  </si>
  <si>
    <t>Mar</t>
  </si>
  <si>
    <t>Apr</t>
  </si>
  <si>
    <t>May</t>
  </si>
  <si>
    <t>Jun</t>
  </si>
  <si>
    <t>Jul</t>
  </si>
  <si>
    <t>Aug</t>
  </si>
  <si>
    <t>Sep</t>
  </si>
  <si>
    <t>Oct</t>
  </si>
  <si>
    <t>Nov</t>
  </si>
  <si>
    <t>Dec</t>
  </si>
  <si>
    <t>Year</t>
  </si>
  <si>
    <t>Month</t>
  </si>
  <si>
    <t>Revenue</t>
  </si>
  <si>
    <t>LIZZY ELECTRONICS</t>
  </si>
  <si>
    <t>Cost Of Goods Sold</t>
  </si>
  <si>
    <t>Operating Expenses</t>
  </si>
  <si>
    <t>Marketing Expenses</t>
  </si>
  <si>
    <t>Other Expenses</t>
  </si>
  <si>
    <t>Gross Profit</t>
  </si>
  <si>
    <t>Net Profit</t>
  </si>
  <si>
    <t>Total Expenses</t>
  </si>
  <si>
    <t>N/A</t>
  </si>
  <si>
    <t>Grand Total</t>
  </si>
  <si>
    <t>Sum of Operating Expenses</t>
  </si>
  <si>
    <t>Sum of Other Expenses</t>
  </si>
  <si>
    <t>Sum of Marketing Expenses</t>
  </si>
  <si>
    <t>Total Revenue</t>
  </si>
  <si>
    <t>Total Net Profit</t>
  </si>
  <si>
    <t>Total Net Profit Margin %</t>
  </si>
  <si>
    <t>2021 Total</t>
  </si>
  <si>
    <t>2022 Total</t>
  </si>
  <si>
    <t>2023 Total</t>
  </si>
  <si>
    <t>2024 Total</t>
  </si>
  <si>
    <t>2025 Total</t>
  </si>
  <si>
    <t>Correlation Analysis</t>
  </si>
  <si>
    <t>Revenue and total expenses show a strong positive correlation (r=0.96), indicating that cost structures scale closely with revenue growth.</t>
  </si>
  <si>
    <t>This suggests the need for expense efficiency to improve profit margins.</t>
  </si>
  <si>
    <t>Average of Monthly Growth Rate %</t>
  </si>
  <si>
    <t>Revenue remains consistently higher as it represents total inflows</t>
  </si>
  <si>
    <t>while Net Profit is lower due to cost structures and operational expenses reducing retained earnings.</t>
  </si>
  <si>
    <t>LIZZY ELECTRONICS: FINANCIAL PERFORMANCE ANALYSIS (2021-2025)</t>
  </si>
  <si>
    <t>Project Objective:</t>
  </si>
  <si>
    <t>Scope of Analysis:</t>
  </si>
  <si>
    <t>Tools Used:</t>
  </si>
  <si>
    <t>Key Focus Areas:</t>
  </si>
  <si>
    <t>The analysis covers the following to evaluate business sustainability and financial efficiency.</t>
  </si>
  <si>
    <t>Revenue shows a generally upward trend, indicating steady business expansion across the analysis period.</t>
  </si>
  <si>
    <t>Growth rate fluctuations suggest seasonal effects and varying market demand across months.</t>
  </si>
  <si>
    <t>Expense growth remains proportional, suggesting controlled cost management.</t>
  </si>
  <si>
    <t>Net profit remains consistently below revenue due to cost structure, which is expected in retail operations.</t>
  </si>
  <si>
    <t>Profit margin varies across months, highlighting periods of higher operational efficiency.</t>
  </si>
  <si>
    <t>The business demonstrates sustainable growth with controlled expenses and positive profitability trends.</t>
  </si>
  <si>
    <t xml:space="preserve"> Profitability</t>
  </si>
  <si>
    <t>Overall Performance</t>
  </si>
  <si>
    <t>Expenses are strongly correlated with revenue (correlation = 0.96), indicating that higher sales are associated with increased operational costs.</t>
  </si>
  <si>
    <t>Business Recommendations</t>
  </si>
  <si>
    <t>FINANCIAL PERFORMANCE DASHBOARD 2021-2025</t>
  </si>
  <si>
    <t xml:space="preserve">TOTAL REVENUE
</t>
  </si>
  <si>
    <t xml:space="preserve">TOTAL NET PROFIT
</t>
  </si>
  <si>
    <t xml:space="preserve">TOTAL EXPENSES
</t>
  </si>
  <si>
    <t xml:space="preserve">AVERAGE GROWTH RATE
</t>
  </si>
  <si>
    <t xml:space="preserve">AVERAGE PROFIT MARGIN
</t>
  </si>
  <si>
    <t xml:space="preserve">EXPENSES - REVENUE RATIO
</t>
  </si>
  <si>
    <t>Net Profit 
Margin (%)</t>
  </si>
  <si>
    <t>Monthly
 Growth Rate %</t>
  </si>
  <si>
    <t>Despite revenue groth, rising expenses are reducing overall profit margins</t>
  </si>
  <si>
    <t>1 .</t>
  </si>
  <si>
    <t xml:space="preserve">2  .  </t>
  </si>
  <si>
    <t>3 .</t>
  </si>
  <si>
    <t>Executive Summary</t>
  </si>
  <si>
    <t>This analysis evaluates the company's revenue, profitability, and expenses to understand financial performance and identify opportunities for improvement.</t>
  </si>
  <si>
    <t>Project  Title</t>
  </si>
  <si>
    <t>Retail / Sales Performance Analysis</t>
  </si>
  <si>
    <t xml:space="preserve">                   Business Questions:</t>
  </si>
  <si>
    <r>
      <t>·</t>
    </r>
    <r>
      <rPr>
        <sz val="12"/>
        <color theme="1"/>
        <rFont val="Times New Roman"/>
        <family val="1"/>
      </rPr>
      <t xml:space="preserve">       </t>
    </r>
    <r>
      <rPr>
        <sz val="12"/>
        <color theme="1"/>
        <rFont val="Calibri"/>
        <family val="2"/>
        <scheme val="minor"/>
      </rPr>
      <t>monthly and annual revenue</t>
    </r>
  </si>
  <si>
    <r>
      <t>·</t>
    </r>
    <r>
      <rPr>
        <sz val="12"/>
        <color theme="1"/>
        <rFont val="Times New Roman"/>
        <family val="1"/>
      </rPr>
      <t xml:space="preserve">       </t>
    </r>
    <r>
      <rPr>
        <sz val="12"/>
        <color theme="1"/>
        <rFont val="Calibri"/>
        <family val="2"/>
        <scheme val="minor"/>
      </rPr>
      <t>expenses</t>
    </r>
  </si>
  <si>
    <r>
      <t>·</t>
    </r>
    <r>
      <rPr>
        <sz val="12"/>
        <color theme="1"/>
        <rFont val="Times New Roman"/>
        <family val="1"/>
      </rPr>
      <t xml:space="preserve">       </t>
    </r>
    <r>
      <rPr>
        <sz val="12"/>
        <color theme="1"/>
        <rFont val="Calibri"/>
        <family val="2"/>
        <scheme val="minor"/>
      </rPr>
      <t>net profit</t>
    </r>
  </si>
  <si>
    <r>
      <t>·</t>
    </r>
    <r>
      <rPr>
        <sz val="12"/>
        <color theme="1"/>
        <rFont val="Times New Roman"/>
        <family val="1"/>
      </rPr>
      <t xml:space="preserve">       </t>
    </r>
    <r>
      <rPr>
        <sz val="12"/>
        <color theme="1"/>
        <rFont val="Calibri"/>
        <family val="2"/>
        <scheme val="minor"/>
      </rPr>
      <t>profit margins</t>
    </r>
  </si>
  <si>
    <r>
      <t>·</t>
    </r>
    <r>
      <rPr>
        <sz val="12"/>
        <color theme="1"/>
        <rFont val="Times New Roman"/>
        <family val="1"/>
      </rPr>
      <t xml:space="preserve">       </t>
    </r>
    <r>
      <rPr>
        <sz val="12"/>
        <color theme="1"/>
        <rFont val="Calibri"/>
        <family val="2"/>
        <scheme val="minor"/>
      </rPr>
      <t>growth rates</t>
    </r>
  </si>
  <si>
    <r>
      <rPr>
        <b/>
        <sz val="12"/>
        <color theme="1"/>
        <rFont val="Calibri"/>
        <family val="2"/>
        <scheme val="minor"/>
      </rPr>
      <t xml:space="preserve">           1.</t>
    </r>
    <r>
      <rPr>
        <sz val="12"/>
        <color theme="1"/>
        <rFont val="Calibri"/>
        <family val="2"/>
        <scheme val="minor"/>
      </rPr>
      <t xml:space="preserve"> How is the company's revenue changing over time?</t>
    </r>
  </si>
  <si>
    <r>
      <rPr>
        <b/>
        <sz val="12"/>
        <color theme="1"/>
        <rFont val="Calibri"/>
        <family val="2"/>
        <scheme val="minor"/>
      </rPr>
      <t xml:space="preserve">           2.</t>
    </r>
    <r>
      <rPr>
        <sz val="12"/>
        <color theme="1"/>
        <rFont val="Calibri"/>
        <family val="2"/>
        <scheme val="minor"/>
      </rPr>
      <t xml:space="preserve"> Is the business becoming more profitable or less profitable?</t>
    </r>
  </si>
  <si>
    <r>
      <rPr>
        <b/>
        <sz val="12"/>
        <color theme="1"/>
        <rFont val="Calibri"/>
        <family val="2"/>
        <scheme val="minor"/>
      </rPr>
      <t xml:space="preserve">           3</t>
    </r>
    <r>
      <rPr>
        <sz val="12"/>
        <color theme="1"/>
        <rFont val="Calibri"/>
        <family val="2"/>
        <scheme val="minor"/>
      </rPr>
      <t>. Are expenses growing faster than revenue?</t>
    </r>
  </si>
  <si>
    <r>
      <rPr>
        <b/>
        <sz val="12"/>
        <color theme="1"/>
        <rFont val="Calibri"/>
        <family val="2"/>
        <scheme val="minor"/>
      </rPr>
      <t xml:space="preserve">          4.</t>
    </r>
    <r>
      <rPr>
        <sz val="12"/>
        <color theme="1"/>
        <rFont val="Calibri"/>
        <family val="2"/>
        <scheme val="minor"/>
      </rPr>
      <t xml:space="preserve"> What is the company's average monthly growth rate?</t>
    </r>
  </si>
  <si>
    <r>
      <rPr>
        <b/>
        <sz val="12"/>
        <color theme="1"/>
        <rFont val="Calibri"/>
        <family val="2"/>
        <scheme val="minor"/>
      </rPr>
      <t xml:space="preserve">          5.</t>
    </r>
    <r>
      <rPr>
        <sz val="12"/>
        <color theme="1"/>
        <rFont val="Calibri"/>
        <family val="2"/>
        <scheme val="minor"/>
      </rPr>
      <t xml:space="preserve"> How efficiently is revenue being converted into profit?</t>
    </r>
  </si>
  <si>
    <r>
      <t>·</t>
    </r>
    <r>
      <rPr>
        <sz val="12"/>
        <color rgb="FF000000"/>
        <rFont val="Times New Roman"/>
        <family val="1"/>
      </rPr>
      <t xml:space="preserve">       </t>
    </r>
    <r>
      <rPr>
        <sz val="12"/>
        <color rgb="FF000000"/>
        <rFont val="Calibri"/>
        <family val="2"/>
        <scheme val="minor"/>
      </rPr>
      <t xml:space="preserve">Microsoft Excel </t>
    </r>
  </si>
  <si>
    <r>
      <t>·</t>
    </r>
    <r>
      <rPr>
        <sz val="12"/>
        <color rgb="FF000000"/>
        <rFont val="Times New Roman"/>
        <family val="1"/>
      </rPr>
      <t xml:space="preserve">       </t>
    </r>
    <r>
      <rPr>
        <sz val="12"/>
        <color rgb="FF000000"/>
        <rFont val="Calibri"/>
        <family val="2"/>
        <scheme val="minor"/>
      </rPr>
      <t>Pivot Tables</t>
    </r>
  </si>
  <si>
    <r>
      <t>·</t>
    </r>
    <r>
      <rPr>
        <sz val="12"/>
        <color rgb="FF000000"/>
        <rFont val="Times New Roman"/>
        <family val="1"/>
      </rPr>
      <t xml:space="preserve">       </t>
    </r>
    <r>
      <rPr>
        <sz val="12"/>
        <color rgb="FF000000"/>
        <rFont val="Calibri"/>
        <family val="2"/>
        <scheme val="minor"/>
      </rPr>
      <t xml:space="preserve">Charts </t>
    </r>
  </si>
  <si>
    <r>
      <t>·</t>
    </r>
    <r>
      <rPr>
        <sz val="12"/>
        <color rgb="FF000000"/>
        <rFont val="Calibri"/>
        <family val="2"/>
        <scheme val="minor"/>
      </rPr>
      <t xml:space="preserve">     Interactive Slicers</t>
    </r>
  </si>
  <si>
    <r>
      <t>·</t>
    </r>
    <r>
      <rPr>
        <sz val="12"/>
        <color rgb="FF000000"/>
        <rFont val="Times New Roman"/>
        <family val="1"/>
      </rPr>
      <t xml:space="preserve">       </t>
    </r>
    <r>
      <rPr>
        <sz val="12"/>
        <color rgb="FF000000"/>
        <rFont val="Calibri"/>
        <family val="2"/>
        <scheme val="minor"/>
      </rPr>
      <t>KPIs</t>
    </r>
  </si>
  <si>
    <r>
      <t>·</t>
    </r>
    <r>
      <rPr>
        <sz val="12"/>
        <color rgb="FF000000"/>
        <rFont val="Times New Roman"/>
        <family val="1"/>
      </rPr>
      <t xml:space="preserve">       </t>
    </r>
    <r>
      <rPr>
        <sz val="12"/>
        <color rgb="FF000000"/>
        <rFont val="Calibri"/>
        <family val="2"/>
        <scheme val="minor"/>
      </rPr>
      <t>Conditional Formatting</t>
    </r>
  </si>
  <si>
    <r>
      <t>·</t>
    </r>
    <r>
      <rPr>
        <sz val="12"/>
        <color rgb="FF000000"/>
        <rFont val="Times New Roman"/>
        <family val="1"/>
      </rPr>
      <t xml:space="preserve">       </t>
    </r>
    <r>
      <rPr>
        <sz val="12"/>
        <color rgb="FF000000"/>
        <rFont val="Calibri"/>
        <family val="2"/>
        <scheme val="minor"/>
      </rPr>
      <t>Correlation Analysis</t>
    </r>
  </si>
  <si>
    <r>
      <t>·</t>
    </r>
    <r>
      <rPr>
        <sz val="12"/>
        <color theme="1"/>
        <rFont val="Times New Roman"/>
        <family val="1"/>
      </rPr>
      <t xml:space="preserve">       </t>
    </r>
    <r>
      <rPr>
        <sz val="12"/>
        <color theme="1"/>
        <rFont val="Calibri"/>
        <family val="2"/>
        <scheme val="minor"/>
      </rPr>
      <t>Revenue and expense trends</t>
    </r>
  </si>
  <si>
    <r>
      <t>·</t>
    </r>
    <r>
      <rPr>
        <sz val="12"/>
        <color theme="1"/>
        <rFont val="Times New Roman"/>
        <family val="1"/>
      </rPr>
      <t xml:space="preserve">       </t>
    </r>
    <r>
      <rPr>
        <sz val="12"/>
        <color theme="1"/>
        <rFont val="Calibri"/>
        <family val="2"/>
        <scheme val="minor"/>
      </rPr>
      <t>Profitability analysis</t>
    </r>
  </si>
  <si>
    <r>
      <t>·</t>
    </r>
    <r>
      <rPr>
        <sz val="12"/>
        <color theme="1"/>
        <rFont val="Times New Roman"/>
        <family val="1"/>
      </rPr>
      <t xml:space="preserve">       </t>
    </r>
    <r>
      <rPr>
        <sz val="12"/>
        <color theme="1"/>
        <rFont val="Calibri"/>
        <family val="2"/>
        <scheme val="minor"/>
      </rPr>
      <t>Growth performance</t>
    </r>
  </si>
  <si>
    <r>
      <t>·</t>
    </r>
    <r>
      <rPr>
        <sz val="12"/>
        <color theme="1"/>
        <rFont val="Times New Roman"/>
        <family val="1"/>
      </rPr>
      <t xml:space="preserve">       </t>
    </r>
    <r>
      <rPr>
        <sz val="12"/>
        <color theme="1"/>
        <rFont val="Calibri"/>
        <family val="2"/>
        <scheme val="minor"/>
      </rPr>
      <t>Cost–revenue relationship</t>
    </r>
  </si>
  <si>
    <t>The average monthly growth rate indicates moderate moderate expansion, but flunctuations in some months suggests unstable performance</t>
  </si>
  <si>
    <t>Although revenue increased, net profits did not rise at the same rate, implying that rising expenses affects profitability.</t>
  </si>
  <si>
    <t xml:space="preserve"> Expense Analysis</t>
  </si>
  <si>
    <t xml:space="preserve"> Revenue &amp; Growth Trend</t>
  </si>
  <si>
    <t>improve cost managements to stabilize profit margins.</t>
  </si>
  <si>
    <t>Focus on high peforming months to understand demand drivers.</t>
  </si>
  <si>
    <t>Investigate expense category contributing most to revenue reduction.</t>
  </si>
  <si>
    <t>2 .</t>
  </si>
  <si>
    <t>This project analyzes the financial performance of Lizzy Electronics from 2021 to 2025, focusing on revenue trends, cost behaviour, profitability, and growth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</si>
</sst>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24"/>
      <color theme="1"/>
      <name val="Times New Roman"/>
      <family val="1"/>
    </font>
    <font>
      <b/>
      <sz val="11"/>
      <color theme="0"/>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b/>
      <sz val="28"/>
      <color theme="0"/>
      <name val="Calibri"/>
      <family val="2"/>
      <scheme val="minor"/>
    </font>
    <font>
      <b/>
      <sz val="18"/>
      <color theme="0"/>
      <name val="Calibri"/>
      <family val="2"/>
      <scheme val="minor"/>
    </font>
    <font>
      <b/>
      <sz val="28"/>
      <color theme="1"/>
      <name val="Calibri"/>
      <family val="2"/>
      <scheme val="minor"/>
    </font>
    <font>
      <sz val="12"/>
      <color theme="1"/>
      <name val="Calibri"/>
      <family val="2"/>
      <scheme val="minor"/>
    </font>
    <font>
      <sz val="12"/>
      <color theme="1"/>
      <name val="Symbol"/>
      <family val="1"/>
      <charset val="2"/>
    </font>
    <font>
      <sz val="12"/>
      <color theme="1"/>
      <name val="Times New Roman"/>
      <family val="1"/>
    </font>
    <font>
      <sz val="12"/>
      <color rgb="FF000000"/>
      <name val="Symbol"/>
      <family val="1"/>
      <charset val="2"/>
    </font>
    <font>
      <sz val="12"/>
      <color rgb="FF000000"/>
      <name val="Times New Roman"/>
      <family val="1"/>
    </font>
    <font>
      <sz val="12"/>
      <color rgb="FF000000"/>
      <name val="Calibri"/>
      <family val="2"/>
      <scheme val="minor"/>
    </font>
    <font>
      <b/>
      <sz val="24"/>
      <color theme="1"/>
      <name val="Calibri"/>
      <family val="2"/>
      <scheme val="minor"/>
    </font>
    <font>
      <b/>
      <sz val="24"/>
      <color theme="1" tint="0.499984740745262"/>
      <name val="Times New Roman"/>
      <family val="1"/>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9"/>
        <bgColor indexed="64"/>
      </patternFill>
    </fill>
    <fill>
      <patternFill patternType="solid">
        <fgColor theme="3" tint="0.39997558519241921"/>
        <bgColor theme="4"/>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65">
    <xf numFmtId="0" fontId="0" fillId="0" borderId="0" xfId="0"/>
    <xf numFmtId="0" fontId="0" fillId="0" borderId="0" xfId="0" applyAlignment="1">
      <alignment vertical="center"/>
    </xf>
    <xf numFmtId="0" fontId="1" fillId="0" borderId="0" xfId="0" applyFon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0" borderId="5" xfId="0" applyBorder="1"/>
    <xf numFmtId="0" fontId="4" fillId="0" borderId="6" xfId="0" applyFont="1" applyBorder="1" applyAlignment="1">
      <alignment horizontal="center"/>
    </xf>
    <xf numFmtId="0" fontId="2" fillId="2" borderId="4" xfId="0" applyFont="1" applyFill="1" applyBorder="1" applyAlignment="1">
      <alignment vertical="center"/>
    </xf>
    <xf numFmtId="0" fontId="0" fillId="3" borderId="7" xfId="0" applyFill="1" applyBorder="1" applyAlignment="1">
      <alignment vertical="center"/>
    </xf>
    <xf numFmtId="0" fontId="0" fillId="3" borderId="4" xfId="0" applyFill="1" applyBorder="1" applyAlignment="1">
      <alignment vertical="center"/>
    </xf>
    <xf numFmtId="3" fontId="0" fillId="3" borderId="4" xfId="0" applyNumberFormat="1" applyFill="1" applyBorder="1" applyAlignment="1">
      <alignment vertical="center"/>
    </xf>
    <xf numFmtId="164" fontId="0" fillId="3" borderId="4" xfId="0" applyNumberFormat="1" applyFill="1" applyBorder="1" applyAlignment="1">
      <alignment vertical="center"/>
    </xf>
    <xf numFmtId="0" fontId="0" fillId="3" borderId="8" xfId="0" applyFill="1" applyBorder="1" applyAlignment="1">
      <alignment horizontal="right" vertical="center"/>
    </xf>
    <xf numFmtId="0" fontId="0" fillId="0" borderId="7" xfId="0" applyBorder="1" applyAlignment="1">
      <alignment vertical="center"/>
    </xf>
    <xf numFmtId="0" fontId="0" fillId="0" borderId="4" xfId="0" applyBorder="1" applyAlignment="1">
      <alignment vertical="center"/>
    </xf>
    <xf numFmtId="3" fontId="0" fillId="0" borderId="4" xfId="0" applyNumberFormat="1" applyBorder="1" applyAlignment="1">
      <alignment vertical="center"/>
    </xf>
    <xf numFmtId="164" fontId="0" fillId="0" borderId="4" xfId="0" applyNumberFormat="1" applyBorder="1" applyAlignment="1">
      <alignment vertical="center"/>
    </xf>
    <xf numFmtId="10" fontId="0" fillId="0" borderId="8" xfId="0" applyNumberFormat="1" applyBorder="1" applyAlignment="1">
      <alignment vertical="center"/>
    </xf>
    <xf numFmtId="10" fontId="0" fillId="3" borderId="8" xfId="0" applyNumberFormat="1" applyFill="1" applyBorder="1" applyAlignment="1">
      <alignment vertical="center"/>
    </xf>
    <xf numFmtId="0" fontId="0" fillId="0" borderId="1" xfId="0" applyBorder="1" applyAlignment="1">
      <alignment vertical="center"/>
    </xf>
    <xf numFmtId="0" fontId="0" fillId="0" borderId="2" xfId="0" applyBorder="1" applyAlignment="1">
      <alignment vertical="center"/>
    </xf>
    <xf numFmtId="3" fontId="0" fillId="0" borderId="2" xfId="0" applyNumberFormat="1" applyBorder="1" applyAlignment="1">
      <alignment vertical="center"/>
    </xf>
    <xf numFmtId="164" fontId="0" fillId="0" borderId="2" xfId="0" applyNumberFormat="1" applyBorder="1" applyAlignment="1">
      <alignment vertical="center"/>
    </xf>
    <xf numFmtId="10" fontId="0" fillId="0" borderId="3" xfId="0" applyNumberFormat="1" applyBorder="1" applyAlignment="1">
      <alignment vertical="center"/>
    </xf>
    <xf numFmtId="164" fontId="0" fillId="0" borderId="0" xfId="0" applyNumberFormat="1" applyAlignment="1">
      <alignment vertical="center"/>
    </xf>
    <xf numFmtId="10" fontId="0" fillId="0" borderId="0" xfId="0" applyNumberFormat="1" applyAlignment="1">
      <alignment vertical="center"/>
    </xf>
    <xf numFmtId="0" fontId="3" fillId="0" borderId="0" xfId="0" applyFont="1" applyAlignment="1">
      <alignment vertical="center"/>
    </xf>
    <xf numFmtId="3" fontId="3" fillId="0" borderId="0" xfId="0" applyNumberFormat="1" applyFont="1" applyAlignment="1">
      <alignment vertical="center"/>
    </xf>
    <xf numFmtId="164" fontId="3" fillId="0" borderId="0" xfId="0" applyNumberFormat="1" applyFont="1" applyAlignment="1">
      <alignment vertical="center"/>
    </xf>
    <xf numFmtId="10" fontId="3" fillId="0" borderId="0" xfId="0" applyNumberFormat="1" applyFont="1" applyAlignment="1">
      <alignment vertical="center"/>
    </xf>
    <xf numFmtId="0" fontId="5" fillId="0" borderId="0" xfId="0" applyFont="1"/>
    <xf numFmtId="0" fontId="3" fillId="0" borderId="0" xfId="0" applyFont="1"/>
    <xf numFmtId="0" fontId="3" fillId="4" borderId="7" xfId="0" applyFont="1" applyFill="1" applyBorder="1" applyAlignment="1">
      <alignment vertical="center"/>
    </xf>
    <xf numFmtId="0" fontId="3" fillId="4" borderId="4" xfId="0" applyFont="1" applyFill="1" applyBorder="1" applyAlignment="1">
      <alignment vertical="center"/>
    </xf>
    <xf numFmtId="3" fontId="3" fillId="4" borderId="4" xfId="0" applyNumberFormat="1" applyFont="1" applyFill="1" applyBorder="1" applyAlignment="1">
      <alignment vertical="center"/>
    </xf>
    <xf numFmtId="164" fontId="3" fillId="4" borderId="4" xfId="0" applyNumberFormat="1" applyFont="1" applyFill="1" applyBorder="1" applyAlignment="1">
      <alignment vertical="center"/>
    </xf>
    <xf numFmtId="10" fontId="3" fillId="4" borderId="8" xfId="0" applyNumberFormat="1" applyFont="1" applyFill="1" applyBorder="1" applyAlignment="1">
      <alignment vertical="center"/>
    </xf>
    <xf numFmtId="0" fontId="3" fillId="4" borderId="0" xfId="0" applyFont="1" applyFill="1"/>
    <xf numFmtId="3" fontId="3" fillId="4" borderId="7" xfId="0" applyNumberFormat="1" applyFont="1" applyFill="1" applyBorder="1" applyAlignment="1">
      <alignment vertical="center"/>
    </xf>
    <xf numFmtId="0" fontId="3" fillId="4" borderId="0" xfId="0" applyFont="1" applyFill="1" applyAlignment="1">
      <alignment vertical="center"/>
    </xf>
    <xf numFmtId="3" fontId="3" fillId="4" borderId="0" xfId="0" applyNumberFormat="1" applyFont="1" applyFill="1" applyAlignment="1">
      <alignment vertical="center"/>
    </xf>
    <xf numFmtId="10" fontId="0" fillId="0" borderId="0" xfId="0" applyNumberFormat="1"/>
    <xf numFmtId="0" fontId="0" fillId="4" borderId="0" xfId="0" applyFill="1"/>
    <xf numFmtId="0" fontId="6" fillId="4" borderId="0" xfId="0" applyFont="1" applyFill="1"/>
    <xf numFmtId="3" fontId="8" fillId="4" borderId="0" xfId="0" applyNumberFormat="1" applyFont="1" applyFill="1" applyAlignment="1">
      <alignment horizontal="center"/>
    </xf>
    <xf numFmtId="0" fontId="8" fillId="4" borderId="0" xfId="0" applyFont="1" applyFill="1" applyAlignment="1">
      <alignment horizontal="center"/>
    </xf>
    <xf numFmtId="10" fontId="8" fillId="4" borderId="0" xfId="0" applyNumberFormat="1" applyFont="1" applyFill="1" applyAlignment="1">
      <alignment horizontal="center"/>
    </xf>
    <xf numFmtId="0" fontId="7" fillId="5" borderId="0" xfId="0" applyFont="1" applyFill="1" applyAlignment="1">
      <alignment horizontal="center" wrapText="1"/>
    </xf>
    <xf numFmtId="0" fontId="0" fillId="4" borderId="0" xfId="0" applyFill="1" applyAlignment="1">
      <alignment horizontal="center"/>
    </xf>
    <xf numFmtId="0" fontId="9" fillId="0" borderId="0" xfId="0" applyFont="1"/>
    <xf numFmtId="0" fontId="5" fillId="0" borderId="0" xfId="0" applyFont="1" applyAlignment="1">
      <alignment vertical="center"/>
    </xf>
    <xf numFmtId="0" fontId="9" fillId="0" borderId="0" xfId="0" applyFont="1" applyAlignment="1">
      <alignment vertical="center"/>
    </xf>
    <xf numFmtId="0" fontId="10" fillId="0" borderId="0" xfId="0" applyFont="1" applyAlignment="1">
      <alignment horizontal="left" vertical="center" indent="4"/>
    </xf>
    <xf numFmtId="0" fontId="5" fillId="0" borderId="0" xfId="0" applyFont="1" applyAlignment="1">
      <alignment horizontal="center" vertical="center"/>
    </xf>
    <xf numFmtId="0" fontId="12" fillId="0" borderId="0" xfId="0" applyFont="1" applyAlignment="1">
      <alignment horizontal="left" vertical="center" indent="4"/>
    </xf>
    <xf numFmtId="0" fontId="15" fillId="0" borderId="0" xfId="0" applyFont="1" applyAlignment="1">
      <alignment horizontal="center"/>
    </xf>
    <xf numFmtId="0" fontId="3" fillId="6" borderId="7" xfId="0" applyFont="1" applyFill="1" applyBorder="1" applyAlignment="1">
      <alignment vertical="center"/>
    </xf>
    <xf numFmtId="0" fontId="3" fillId="6" borderId="4" xfId="0" applyFont="1" applyFill="1" applyBorder="1" applyAlignment="1">
      <alignment vertical="center"/>
    </xf>
    <xf numFmtId="0" fontId="3" fillId="6" borderId="4" xfId="0" applyFont="1" applyFill="1" applyBorder="1" applyAlignment="1">
      <alignment vertical="center" wrapText="1"/>
    </xf>
    <xf numFmtId="0" fontId="3" fillId="6" borderId="8" xfId="0" applyFont="1" applyFill="1" applyBorder="1" applyAlignment="1">
      <alignment vertical="center" wrapText="1"/>
    </xf>
    <xf numFmtId="0" fontId="6" fillId="5" borderId="0" xfId="0" applyFont="1" applyFill="1" applyAlignment="1">
      <alignment horizontal="center"/>
    </xf>
    <xf numFmtId="0" fontId="15" fillId="0" borderId="0" xfId="0" applyFont="1" applyAlignment="1">
      <alignment horizontal="center"/>
    </xf>
    <xf numFmtId="0" fontId="16" fillId="0" borderId="0" xfId="0" applyFont="1" applyAlignment="1">
      <alignment horizontal="center"/>
    </xf>
  </cellXfs>
  <cellStyles count="1">
    <cellStyle name="Normal" xfId="0" builtinId="0"/>
  </cellStyles>
  <dxfs count="2">
    <dxf>
      <fill>
        <patternFill>
          <bgColor theme="9" tint="0.39994506668294322"/>
        </patternFill>
      </fill>
    </dxf>
    <dxf>
      <fill>
        <patternFill>
          <bgColor theme="5" tint="0.39994506668294322"/>
        </patternFill>
      </fill>
    </dxf>
  </dxfs>
  <tableStyles count="0" defaultTableStyle="TableStyleMedium2" defaultPivotStyle="PivotStyleLight16"/>
  <colors>
    <mruColors>
      <color rgb="FFB6E6AC"/>
      <color rgb="FFCAF8C4"/>
      <color rgb="FFC2E49C"/>
      <color rgb="FFB8E08C"/>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TABLES!PivotTable3</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Profit Margin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TABLES'!$C$17</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TABLES'!$B$18:$B$29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TABLES'!$C$18:$C$29</c:f>
              <c:numCache>
                <c:formatCode>0.0%</c:formatCode>
                <c:ptCount val="12"/>
                <c:pt idx="0">
                  <c:v>0.86160410629871809</c:v>
                </c:pt>
                <c:pt idx="1">
                  <c:v>0.83618557187809728</c:v>
                </c:pt>
                <c:pt idx="2">
                  <c:v>0.88126682454208582</c:v>
                </c:pt>
                <c:pt idx="3">
                  <c:v>0.88541045590537093</c:v>
                </c:pt>
                <c:pt idx="4">
                  <c:v>0.89067632005144626</c:v>
                </c:pt>
                <c:pt idx="5">
                  <c:v>0.9594764208726867</c:v>
                </c:pt>
                <c:pt idx="6">
                  <c:v>0.84968245950539179</c:v>
                </c:pt>
                <c:pt idx="7">
                  <c:v>0.83779196642685849</c:v>
                </c:pt>
                <c:pt idx="8">
                  <c:v>0.87345536036142302</c:v>
                </c:pt>
                <c:pt idx="9">
                  <c:v>0.89844108822781599</c:v>
                </c:pt>
                <c:pt idx="10">
                  <c:v>0.93113982781336602</c:v>
                </c:pt>
                <c:pt idx="11">
                  <c:v>0.95543107607552913</c:v>
                </c:pt>
              </c:numCache>
            </c:numRef>
          </c:val>
          <c:smooth val="0"/>
          <c:extLst>
            <c:ext xmlns:c16="http://schemas.microsoft.com/office/drawing/2014/chart" uri="{C3380CC4-5D6E-409C-BE32-E72D297353CC}">
              <c16:uniqueId val="{00000000-8444-42F4-8BD4-1335DB2F7E67}"/>
            </c:ext>
          </c:extLst>
        </c:ser>
        <c:dLbls>
          <c:dLblPos val="t"/>
          <c:showLegendKey val="0"/>
          <c:showVal val="1"/>
          <c:showCatName val="0"/>
          <c:showSerName val="0"/>
          <c:showPercent val="0"/>
          <c:showBubbleSize val="0"/>
        </c:dLbls>
        <c:marker val="1"/>
        <c:smooth val="0"/>
        <c:axId val="1479363967"/>
        <c:axId val="1479367807"/>
      </c:lineChart>
      <c:catAx>
        <c:axId val="1479363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9367807"/>
        <c:crosses val="autoZero"/>
        <c:auto val="1"/>
        <c:lblAlgn val="ctr"/>
        <c:lblOffset val="100"/>
        <c:noMultiLvlLbl val="0"/>
      </c:catAx>
      <c:valAx>
        <c:axId val="147936780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936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Monthly Growth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TABLES'!$C$4:$C$15</c:f>
              <c:numCache>
                <c:formatCode>0.00%</c:formatCode>
                <c:ptCount val="12"/>
                <c:pt idx="0">
                  <c:v>-0.28102902311703809</c:v>
                </c:pt>
                <c:pt idx="1">
                  <c:v>-2.5282604170288943E-2</c:v>
                </c:pt>
                <c:pt idx="2">
                  <c:v>7.782679088779379E-2</c:v>
                </c:pt>
                <c:pt idx="3">
                  <c:v>2.0639982033710258E-2</c:v>
                </c:pt>
                <c:pt idx="4">
                  <c:v>4.3429659723110879E-2</c:v>
                </c:pt>
                <c:pt idx="5">
                  <c:v>4.7598831191724547E-2</c:v>
                </c:pt>
                <c:pt idx="6">
                  <c:v>-4.8361820765642521E-2</c:v>
                </c:pt>
                <c:pt idx="7">
                  <c:v>-1.7658522967783717E-2</c:v>
                </c:pt>
                <c:pt idx="8">
                  <c:v>5.6986228160328875E-2</c:v>
                </c:pt>
                <c:pt idx="9">
                  <c:v>0.13897841552138934</c:v>
                </c:pt>
                <c:pt idx="10">
                  <c:v>5.5360522078142217E-2</c:v>
                </c:pt>
                <c:pt idx="11">
                  <c:v>0.11377765662623233</c:v>
                </c:pt>
              </c:numCache>
            </c:numRef>
          </c:val>
          <c:smooth val="0"/>
          <c:extLst>
            <c:ext xmlns:c16="http://schemas.microsoft.com/office/drawing/2014/chart" uri="{C3380CC4-5D6E-409C-BE32-E72D297353CC}">
              <c16:uniqueId val="{00000000-F1F1-436C-B59B-060F221FAE50}"/>
            </c:ext>
          </c:extLst>
        </c:ser>
        <c:dLbls>
          <c:dLblPos val="t"/>
          <c:showLegendKey val="0"/>
          <c:showVal val="1"/>
          <c:showCatName val="0"/>
          <c:showSerName val="0"/>
          <c:showPercent val="0"/>
          <c:showBubbleSize val="0"/>
        </c:dLbls>
        <c:marker val="1"/>
        <c:smooth val="0"/>
        <c:axId val="243360576"/>
        <c:axId val="243364896"/>
      </c:lineChart>
      <c:catAx>
        <c:axId val="243360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3364896"/>
        <c:crosses val="autoZero"/>
        <c:auto val="1"/>
        <c:lblAlgn val="ctr"/>
        <c:lblOffset val="100"/>
        <c:noMultiLvlLbl val="0"/>
      </c:catAx>
      <c:valAx>
        <c:axId val="2433648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33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Monthly Revenue &amp; Net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TABLES'!$F$4:$F$15</c:f>
              <c:numCache>
                <c:formatCode>#,##0</c:formatCode>
                <c:ptCount val="12"/>
                <c:pt idx="0">
                  <c:v>5300000</c:v>
                </c:pt>
                <c:pt idx="1">
                  <c:v>5170000</c:v>
                </c:pt>
                <c:pt idx="2">
                  <c:v>5560000</c:v>
                </c:pt>
                <c:pt idx="3">
                  <c:v>5690000</c:v>
                </c:pt>
                <c:pt idx="4">
                  <c:v>5930000</c:v>
                </c:pt>
                <c:pt idx="5">
                  <c:v>6230000</c:v>
                </c:pt>
                <c:pt idx="6">
                  <c:v>5780000</c:v>
                </c:pt>
                <c:pt idx="7">
                  <c:v>5680000</c:v>
                </c:pt>
                <c:pt idx="8">
                  <c:v>6000000</c:v>
                </c:pt>
                <c:pt idx="9">
                  <c:v>6750000</c:v>
                </c:pt>
                <c:pt idx="10">
                  <c:v>7120000</c:v>
                </c:pt>
                <c:pt idx="11">
                  <c:v>7920000</c:v>
                </c:pt>
              </c:numCache>
            </c:numRef>
          </c:val>
          <c:extLst>
            <c:ext xmlns:c16="http://schemas.microsoft.com/office/drawing/2014/chart" uri="{C3380CC4-5D6E-409C-BE32-E72D297353CC}">
              <c16:uniqueId val="{00000000-6F3C-4A15-A4FF-FDEBAE3EF3AE}"/>
            </c:ext>
          </c:extLst>
        </c:ser>
        <c:ser>
          <c:idx val="1"/>
          <c:order val="1"/>
          <c:tx>
            <c:strRef>
              <c:f>'PIVOT TABLES'!$G$3</c:f>
              <c:strCache>
                <c:ptCount val="1"/>
                <c:pt idx="0">
                  <c:v>Total Net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TABLES'!$G$4:$G$15</c:f>
              <c:numCache>
                <c:formatCode>#,##0</c:formatCode>
                <c:ptCount val="12"/>
                <c:pt idx="0">
                  <c:v>928000</c:v>
                </c:pt>
                <c:pt idx="1">
                  <c:v>881000</c:v>
                </c:pt>
                <c:pt idx="2">
                  <c:v>994000</c:v>
                </c:pt>
                <c:pt idx="3">
                  <c:v>1026500</c:v>
                </c:pt>
                <c:pt idx="4">
                  <c:v>1073000</c:v>
                </c:pt>
                <c:pt idx="5">
                  <c:v>1236000</c:v>
                </c:pt>
                <c:pt idx="6">
                  <c:v>995000</c:v>
                </c:pt>
                <c:pt idx="7">
                  <c:v>965000</c:v>
                </c:pt>
                <c:pt idx="8">
                  <c:v>1059000</c:v>
                </c:pt>
                <c:pt idx="9">
                  <c:v>1222000</c:v>
                </c:pt>
                <c:pt idx="10">
                  <c:v>1336000</c:v>
                </c:pt>
                <c:pt idx="11">
                  <c:v>1519000</c:v>
                </c:pt>
              </c:numCache>
            </c:numRef>
          </c:val>
          <c:extLst>
            <c:ext xmlns:c16="http://schemas.microsoft.com/office/drawing/2014/chart" uri="{C3380CC4-5D6E-409C-BE32-E72D297353CC}">
              <c16:uniqueId val="{00000001-6F3C-4A15-A4FF-FDEBAE3EF3AE}"/>
            </c:ext>
          </c:extLst>
        </c:ser>
        <c:dLbls>
          <c:showLegendKey val="0"/>
          <c:showVal val="0"/>
          <c:showCatName val="0"/>
          <c:showSerName val="0"/>
          <c:showPercent val="0"/>
          <c:showBubbleSize val="0"/>
        </c:dLbls>
        <c:gapWidth val="100"/>
        <c:axId val="243329856"/>
        <c:axId val="243338976"/>
      </c:barChart>
      <c:catAx>
        <c:axId val="243329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3338976"/>
        <c:crosses val="autoZero"/>
        <c:auto val="1"/>
        <c:lblAlgn val="ctr"/>
        <c:lblOffset val="100"/>
        <c:noMultiLvlLbl val="0"/>
      </c:catAx>
      <c:valAx>
        <c:axId val="243338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332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TABLES!PivotTable4</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Annual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Sum of Other Expenses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TABLES'!$I$4:$I$8</c:f>
              <c:strCache>
                <c:ptCount val="5"/>
                <c:pt idx="0">
                  <c:v>2021</c:v>
                </c:pt>
                <c:pt idx="1">
                  <c:v>2022</c:v>
                </c:pt>
                <c:pt idx="2">
                  <c:v>2023</c:v>
                </c:pt>
                <c:pt idx="3">
                  <c:v>2024</c:v>
                </c:pt>
                <c:pt idx="4">
                  <c:v>2025</c:v>
                </c:pt>
              </c:strCache>
            </c:strRef>
          </c:cat>
          <c:val>
            <c:numRef>
              <c:f>'PIVOT TABLES'!$J$4:$J$8</c:f>
              <c:numCache>
                <c:formatCode>#,##0</c:formatCode>
                <c:ptCount val="5"/>
                <c:pt idx="0">
                  <c:v>411500</c:v>
                </c:pt>
                <c:pt idx="1">
                  <c:v>490000</c:v>
                </c:pt>
                <c:pt idx="2">
                  <c:v>548000</c:v>
                </c:pt>
                <c:pt idx="3">
                  <c:v>606000</c:v>
                </c:pt>
                <c:pt idx="4">
                  <c:v>579000</c:v>
                </c:pt>
              </c:numCache>
            </c:numRef>
          </c:val>
          <c:extLst>
            <c:ext xmlns:c16="http://schemas.microsoft.com/office/drawing/2014/chart" uri="{C3380CC4-5D6E-409C-BE32-E72D297353CC}">
              <c16:uniqueId val="{00000000-A3BD-4032-9E77-99F0392DDA5B}"/>
            </c:ext>
          </c:extLst>
        </c:ser>
        <c:ser>
          <c:idx val="1"/>
          <c:order val="1"/>
          <c:tx>
            <c:strRef>
              <c:f>'PIVOT TABLES'!$K$3</c:f>
              <c:strCache>
                <c:ptCount val="1"/>
                <c:pt idx="0">
                  <c:v>Sum of Marketing Expenses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TABLES'!$I$4:$I$8</c:f>
              <c:strCache>
                <c:ptCount val="5"/>
                <c:pt idx="0">
                  <c:v>2021</c:v>
                </c:pt>
                <c:pt idx="1">
                  <c:v>2022</c:v>
                </c:pt>
                <c:pt idx="2">
                  <c:v>2023</c:v>
                </c:pt>
                <c:pt idx="3">
                  <c:v>2024</c:v>
                </c:pt>
                <c:pt idx="4">
                  <c:v>2025</c:v>
                </c:pt>
              </c:strCache>
            </c:strRef>
          </c:cat>
          <c:val>
            <c:numRef>
              <c:f>'PIVOT TABLES'!$K$4:$K$8</c:f>
              <c:numCache>
                <c:formatCode>#,##0</c:formatCode>
                <c:ptCount val="5"/>
                <c:pt idx="0">
                  <c:v>625000</c:v>
                </c:pt>
                <c:pt idx="1">
                  <c:v>708000</c:v>
                </c:pt>
                <c:pt idx="2">
                  <c:v>763000</c:v>
                </c:pt>
                <c:pt idx="3">
                  <c:v>812000</c:v>
                </c:pt>
                <c:pt idx="4">
                  <c:v>792000</c:v>
                </c:pt>
              </c:numCache>
            </c:numRef>
          </c:val>
          <c:extLst>
            <c:ext xmlns:c16="http://schemas.microsoft.com/office/drawing/2014/chart" uri="{C3380CC4-5D6E-409C-BE32-E72D297353CC}">
              <c16:uniqueId val="{00000001-A3BD-4032-9E77-99F0392DDA5B}"/>
            </c:ext>
          </c:extLst>
        </c:ser>
        <c:ser>
          <c:idx val="2"/>
          <c:order val="2"/>
          <c:tx>
            <c:strRef>
              <c:f>'PIVOT TABLES'!$L$3</c:f>
              <c:strCache>
                <c:ptCount val="1"/>
                <c:pt idx="0">
                  <c:v>Sum of Operating Expenses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TABLES'!$I$4:$I$8</c:f>
              <c:strCache>
                <c:ptCount val="5"/>
                <c:pt idx="0">
                  <c:v>2021</c:v>
                </c:pt>
                <c:pt idx="1">
                  <c:v>2022</c:v>
                </c:pt>
                <c:pt idx="2">
                  <c:v>2023</c:v>
                </c:pt>
                <c:pt idx="3">
                  <c:v>2024</c:v>
                </c:pt>
                <c:pt idx="4">
                  <c:v>2025</c:v>
                </c:pt>
              </c:strCache>
            </c:strRef>
          </c:cat>
          <c:val>
            <c:numRef>
              <c:f>'PIVOT TABLES'!$L$4:$L$8</c:f>
              <c:numCache>
                <c:formatCode>#,##0</c:formatCode>
                <c:ptCount val="5"/>
                <c:pt idx="0">
                  <c:v>1820000</c:v>
                </c:pt>
                <c:pt idx="1">
                  <c:v>1898000</c:v>
                </c:pt>
                <c:pt idx="2">
                  <c:v>1940000</c:v>
                </c:pt>
                <c:pt idx="3">
                  <c:v>2018000</c:v>
                </c:pt>
                <c:pt idx="4">
                  <c:v>1970000</c:v>
                </c:pt>
              </c:numCache>
            </c:numRef>
          </c:val>
          <c:extLst>
            <c:ext xmlns:c16="http://schemas.microsoft.com/office/drawing/2014/chart" uri="{C3380CC4-5D6E-409C-BE32-E72D297353CC}">
              <c16:uniqueId val="{00000002-A3BD-4032-9E77-99F0392DDA5B}"/>
            </c:ext>
          </c:extLst>
        </c:ser>
        <c:dLbls>
          <c:showLegendKey val="0"/>
          <c:showVal val="0"/>
          <c:showCatName val="0"/>
          <c:showSerName val="0"/>
          <c:showPercent val="0"/>
          <c:showBubbleSize val="0"/>
        </c:dLbls>
        <c:gapWidth val="100"/>
        <c:overlap val="-24"/>
        <c:axId val="1591365247"/>
        <c:axId val="1591377247"/>
      </c:barChart>
      <c:catAx>
        <c:axId val="1591365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1377247"/>
        <c:crosses val="autoZero"/>
        <c:auto val="1"/>
        <c:lblAlgn val="ctr"/>
        <c:lblOffset val="100"/>
        <c:noMultiLvlLbl val="0"/>
      </c:catAx>
      <c:valAx>
        <c:axId val="1591377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136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Monthly Growth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TABLES'!$C$4:$C$15</c:f>
              <c:numCache>
                <c:formatCode>0.00%</c:formatCode>
                <c:ptCount val="12"/>
                <c:pt idx="0">
                  <c:v>-0.28102902311703809</c:v>
                </c:pt>
                <c:pt idx="1">
                  <c:v>-2.5282604170288943E-2</c:v>
                </c:pt>
                <c:pt idx="2">
                  <c:v>7.782679088779379E-2</c:v>
                </c:pt>
                <c:pt idx="3">
                  <c:v>2.0639982033710258E-2</c:v>
                </c:pt>
                <c:pt idx="4">
                  <c:v>4.3429659723110879E-2</c:v>
                </c:pt>
                <c:pt idx="5">
                  <c:v>4.7598831191724547E-2</c:v>
                </c:pt>
                <c:pt idx="6">
                  <c:v>-4.8361820765642521E-2</c:v>
                </c:pt>
                <c:pt idx="7">
                  <c:v>-1.7658522967783717E-2</c:v>
                </c:pt>
                <c:pt idx="8">
                  <c:v>5.6986228160328875E-2</c:v>
                </c:pt>
                <c:pt idx="9">
                  <c:v>0.13897841552138934</c:v>
                </c:pt>
                <c:pt idx="10">
                  <c:v>5.5360522078142217E-2</c:v>
                </c:pt>
                <c:pt idx="11">
                  <c:v>0.11377765662623233</c:v>
                </c:pt>
              </c:numCache>
            </c:numRef>
          </c:val>
          <c:smooth val="0"/>
          <c:extLst>
            <c:ext xmlns:c16="http://schemas.microsoft.com/office/drawing/2014/chart" uri="{C3380CC4-5D6E-409C-BE32-E72D297353CC}">
              <c16:uniqueId val="{00000000-5270-42BE-8616-9AFF1C305ED8}"/>
            </c:ext>
          </c:extLst>
        </c:ser>
        <c:dLbls>
          <c:showLegendKey val="0"/>
          <c:showVal val="0"/>
          <c:showCatName val="0"/>
          <c:showSerName val="0"/>
          <c:showPercent val="0"/>
          <c:showBubbleSize val="0"/>
        </c:dLbls>
        <c:marker val="1"/>
        <c:smooth val="0"/>
        <c:axId val="243360576"/>
        <c:axId val="243364896"/>
      </c:lineChart>
      <c:catAx>
        <c:axId val="243360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3364896"/>
        <c:crosses val="autoZero"/>
        <c:auto val="1"/>
        <c:lblAlgn val="ctr"/>
        <c:lblOffset val="100"/>
        <c:noMultiLvlLbl val="0"/>
      </c:catAx>
      <c:valAx>
        <c:axId val="243364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36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Monthly Revenue and Net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TABLES'!$F$4:$F$15</c:f>
              <c:numCache>
                <c:formatCode>#,##0</c:formatCode>
                <c:ptCount val="12"/>
                <c:pt idx="0">
                  <c:v>5300000</c:v>
                </c:pt>
                <c:pt idx="1">
                  <c:v>5170000</c:v>
                </c:pt>
                <c:pt idx="2">
                  <c:v>5560000</c:v>
                </c:pt>
                <c:pt idx="3">
                  <c:v>5690000</c:v>
                </c:pt>
                <c:pt idx="4">
                  <c:v>5930000</c:v>
                </c:pt>
                <c:pt idx="5">
                  <c:v>6230000</c:v>
                </c:pt>
                <c:pt idx="6">
                  <c:v>5780000</c:v>
                </c:pt>
                <c:pt idx="7">
                  <c:v>5680000</c:v>
                </c:pt>
                <c:pt idx="8">
                  <c:v>6000000</c:v>
                </c:pt>
                <c:pt idx="9">
                  <c:v>6750000</c:v>
                </c:pt>
                <c:pt idx="10">
                  <c:v>7120000</c:v>
                </c:pt>
                <c:pt idx="11">
                  <c:v>7920000</c:v>
                </c:pt>
              </c:numCache>
            </c:numRef>
          </c:val>
          <c:extLst>
            <c:ext xmlns:c16="http://schemas.microsoft.com/office/drawing/2014/chart" uri="{C3380CC4-5D6E-409C-BE32-E72D297353CC}">
              <c16:uniqueId val="{00000000-9518-41C8-89B4-B3AAB5DFD7B4}"/>
            </c:ext>
          </c:extLst>
        </c:ser>
        <c:ser>
          <c:idx val="1"/>
          <c:order val="1"/>
          <c:tx>
            <c:strRef>
              <c:f>'PIVOT TABLES'!$G$3</c:f>
              <c:strCache>
                <c:ptCount val="1"/>
                <c:pt idx="0">
                  <c:v>Total Net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TABLES'!$G$4:$G$15</c:f>
              <c:numCache>
                <c:formatCode>#,##0</c:formatCode>
                <c:ptCount val="12"/>
                <c:pt idx="0">
                  <c:v>928000</c:v>
                </c:pt>
                <c:pt idx="1">
                  <c:v>881000</c:v>
                </c:pt>
                <c:pt idx="2">
                  <c:v>994000</c:v>
                </c:pt>
                <c:pt idx="3">
                  <c:v>1026500</c:v>
                </c:pt>
                <c:pt idx="4">
                  <c:v>1073000</c:v>
                </c:pt>
                <c:pt idx="5">
                  <c:v>1236000</c:v>
                </c:pt>
                <c:pt idx="6">
                  <c:v>995000</c:v>
                </c:pt>
                <c:pt idx="7">
                  <c:v>965000</c:v>
                </c:pt>
                <c:pt idx="8">
                  <c:v>1059000</c:v>
                </c:pt>
                <c:pt idx="9">
                  <c:v>1222000</c:v>
                </c:pt>
                <c:pt idx="10">
                  <c:v>1336000</c:v>
                </c:pt>
                <c:pt idx="11">
                  <c:v>1519000</c:v>
                </c:pt>
              </c:numCache>
            </c:numRef>
          </c:val>
          <c:extLst>
            <c:ext xmlns:c16="http://schemas.microsoft.com/office/drawing/2014/chart" uri="{C3380CC4-5D6E-409C-BE32-E72D297353CC}">
              <c16:uniqueId val="{00000001-9518-41C8-89B4-B3AAB5DFD7B4}"/>
            </c:ext>
          </c:extLst>
        </c:ser>
        <c:dLbls>
          <c:showLegendKey val="0"/>
          <c:showVal val="0"/>
          <c:showCatName val="0"/>
          <c:showSerName val="0"/>
          <c:showPercent val="0"/>
          <c:showBubbleSize val="0"/>
        </c:dLbls>
        <c:gapWidth val="100"/>
        <c:overlap val="-24"/>
        <c:axId val="243329856"/>
        <c:axId val="243338976"/>
      </c:barChart>
      <c:catAx>
        <c:axId val="243329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338976"/>
        <c:crosses val="autoZero"/>
        <c:auto val="1"/>
        <c:lblAlgn val="ctr"/>
        <c:lblOffset val="100"/>
        <c:noMultiLvlLbl val="0"/>
      </c:catAx>
      <c:valAx>
        <c:axId val="243338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3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Profit Margin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TABLES'!$C$17</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TABLES'!$B$18:$B$29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TABLES'!$C$18:$C$29</c:f>
              <c:numCache>
                <c:formatCode>0.0%</c:formatCode>
                <c:ptCount val="12"/>
                <c:pt idx="0">
                  <c:v>0.86160410629871809</c:v>
                </c:pt>
                <c:pt idx="1">
                  <c:v>0.83618557187809728</c:v>
                </c:pt>
                <c:pt idx="2">
                  <c:v>0.88126682454208582</c:v>
                </c:pt>
                <c:pt idx="3">
                  <c:v>0.88541045590537093</c:v>
                </c:pt>
                <c:pt idx="4">
                  <c:v>0.89067632005144626</c:v>
                </c:pt>
                <c:pt idx="5">
                  <c:v>0.9594764208726867</c:v>
                </c:pt>
                <c:pt idx="6">
                  <c:v>0.84968245950539179</c:v>
                </c:pt>
                <c:pt idx="7">
                  <c:v>0.83779196642685849</c:v>
                </c:pt>
                <c:pt idx="8">
                  <c:v>0.87345536036142302</c:v>
                </c:pt>
                <c:pt idx="9">
                  <c:v>0.89844108822781599</c:v>
                </c:pt>
                <c:pt idx="10">
                  <c:v>0.93113982781336602</c:v>
                </c:pt>
                <c:pt idx="11">
                  <c:v>0.95543107607552913</c:v>
                </c:pt>
              </c:numCache>
            </c:numRef>
          </c:val>
          <c:smooth val="0"/>
          <c:extLst>
            <c:ext xmlns:c16="http://schemas.microsoft.com/office/drawing/2014/chart" uri="{C3380CC4-5D6E-409C-BE32-E72D297353CC}">
              <c16:uniqueId val="{00000000-DFD7-420E-AE25-7C75FD89B8FE}"/>
            </c:ext>
          </c:extLst>
        </c:ser>
        <c:dLbls>
          <c:showLegendKey val="0"/>
          <c:showVal val="0"/>
          <c:showCatName val="0"/>
          <c:showSerName val="0"/>
          <c:showPercent val="0"/>
          <c:showBubbleSize val="0"/>
        </c:dLbls>
        <c:marker val="1"/>
        <c:smooth val="0"/>
        <c:axId val="1479363967"/>
        <c:axId val="1479367807"/>
      </c:lineChart>
      <c:catAx>
        <c:axId val="1479363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9367807"/>
        <c:crosses val="autoZero"/>
        <c:auto val="1"/>
        <c:lblAlgn val="ctr"/>
        <c:lblOffset val="100"/>
        <c:noMultiLvlLbl val="0"/>
      </c:catAx>
      <c:valAx>
        <c:axId val="147936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b="1"/>
                  <a:t>Profit</a:t>
                </a:r>
                <a:r>
                  <a:rPr lang="en-GB" b="1" baseline="0"/>
                  <a:t> Margin</a:t>
                </a:r>
                <a:endParaRPr lang="en-GB"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936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Annual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Sum of Other Expenses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TABLES'!$I$4:$I$8</c:f>
              <c:strCache>
                <c:ptCount val="5"/>
                <c:pt idx="0">
                  <c:v>2021</c:v>
                </c:pt>
                <c:pt idx="1">
                  <c:v>2022</c:v>
                </c:pt>
                <c:pt idx="2">
                  <c:v>2023</c:v>
                </c:pt>
                <c:pt idx="3">
                  <c:v>2024</c:v>
                </c:pt>
                <c:pt idx="4">
                  <c:v>2025</c:v>
                </c:pt>
              </c:strCache>
            </c:strRef>
          </c:cat>
          <c:val>
            <c:numRef>
              <c:f>'PIVOT TABLES'!$J$4:$J$8</c:f>
              <c:numCache>
                <c:formatCode>#,##0</c:formatCode>
                <c:ptCount val="5"/>
                <c:pt idx="0">
                  <c:v>411500</c:v>
                </c:pt>
                <c:pt idx="1">
                  <c:v>490000</c:v>
                </c:pt>
                <c:pt idx="2">
                  <c:v>548000</c:v>
                </c:pt>
                <c:pt idx="3">
                  <c:v>606000</c:v>
                </c:pt>
                <c:pt idx="4">
                  <c:v>579000</c:v>
                </c:pt>
              </c:numCache>
            </c:numRef>
          </c:val>
          <c:extLst>
            <c:ext xmlns:c16="http://schemas.microsoft.com/office/drawing/2014/chart" uri="{C3380CC4-5D6E-409C-BE32-E72D297353CC}">
              <c16:uniqueId val="{00000000-8CD9-4A67-858A-6EB371ADF0C6}"/>
            </c:ext>
          </c:extLst>
        </c:ser>
        <c:ser>
          <c:idx val="1"/>
          <c:order val="1"/>
          <c:tx>
            <c:strRef>
              <c:f>'PIVOT TABLES'!$K$3</c:f>
              <c:strCache>
                <c:ptCount val="1"/>
                <c:pt idx="0">
                  <c:v>Sum of Marketing Expenses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TABLES'!$I$4:$I$8</c:f>
              <c:strCache>
                <c:ptCount val="5"/>
                <c:pt idx="0">
                  <c:v>2021</c:v>
                </c:pt>
                <c:pt idx="1">
                  <c:v>2022</c:v>
                </c:pt>
                <c:pt idx="2">
                  <c:v>2023</c:v>
                </c:pt>
                <c:pt idx="3">
                  <c:v>2024</c:v>
                </c:pt>
                <c:pt idx="4">
                  <c:v>2025</c:v>
                </c:pt>
              </c:strCache>
            </c:strRef>
          </c:cat>
          <c:val>
            <c:numRef>
              <c:f>'PIVOT TABLES'!$K$4:$K$8</c:f>
              <c:numCache>
                <c:formatCode>#,##0</c:formatCode>
                <c:ptCount val="5"/>
                <c:pt idx="0">
                  <c:v>625000</c:v>
                </c:pt>
                <c:pt idx="1">
                  <c:v>708000</c:v>
                </c:pt>
                <c:pt idx="2">
                  <c:v>763000</c:v>
                </c:pt>
                <c:pt idx="3">
                  <c:v>812000</c:v>
                </c:pt>
                <c:pt idx="4">
                  <c:v>792000</c:v>
                </c:pt>
              </c:numCache>
            </c:numRef>
          </c:val>
          <c:extLst>
            <c:ext xmlns:c16="http://schemas.microsoft.com/office/drawing/2014/chart" uri="{C3380CC4-5D6E-409C-BE32-E72D297353CC}">
              <c16:uniqueId val="{00000001-8CD9-4A67-858A-6EB371ADF0C6}"/>
            </c:ext>
          </c:extLst>
        </c:ser>
        <c:ser>
          <c:idx val="2"/>
          <c:order val="2"/>
          <c:tx>
            <c:strRef>
              <c:f>'PIVOT TABLES'!$L$3</c:f>
              <c:strCache>
                <c:ptCount val="1"/>
                <c:pt idx="0">
                  <c:v>Sum of Operating Expenses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TABLES'!$I$4:$I$8</c:f>
              <c:strCache>
                <c:ptCount val="5"/>
                <c:pt idx="0">
                  <c:v>2021</c:v>
                </c:pt>
                <c:pt idx="1">
                  <c:v>2022</c:v>
                </c:pt>
                <c:pt idx="2">
                  <c:v>2023</c:v>
                </c:pt>
                <c:pt idx="3">
                  <c:v>2024</c:v>
                </c:pt>
                <c:pt idx="4">
                  <c:v>2025</c:v>
                </c:pt>
              </c:strCache>
            </c:strRef>
          </c:cat>
          <c:val>
            <c:numRef>
              <c:f>'PIVOT TABLES'!$L$4:$L$8</c:f>
              <c:numCache>
                <c:formatCode>#,##0</c:formatCode>
                <c:ptCount val="5"/>
                <c:pt idx="0">
                  <c:v>1820000</c:v>
                </c:pt>
                <c:pt idx="1">
                  <c:v>1898000</c:v>
                </c:pt>
                <c:pt idx="2">
                  <c:v>1940000</c:v>
                </c:pt>
                <c:pt idx="3">
                  <c:v>2018000</c:v>
                </c:pt>
                <c:pt idx="4">
                  <c:v>1970000</c:v>
                </c:pt>
              </c:numCache>
            </c:numRef>
          </c:val>
          <c:extLst>
            <c:ext xmlns:c16="http://schemas.microsoft.com/office/drawing/2014/chart" uri="{C3380CC4-5D6E-409C-BE32-E72D297353CC}">
              <c16:uniqueId val="{00000002-8CD9-4A67-858A-6EB371ADF0C6}"/>
            </c:ext>
          </c:extLst>
        </c:ser>
        <c:dLbls>
          <c:showLegendKey val="0"/>
          <c:showVal val="0"/>
          <c:showCatName val="0"/>
          <c:showSerName val="0"/>
          <c:showPercent val="0"/>
          <c:showBubbleSize val="0"/>
        </c:dLbls>
        <c:gapWidth val="100"/>
        <c:overlap val="-24"/>
        <c:axId val="1591365247"/>
        <c:axId val="1591377247"/>
      </c:barChart>
      <c:catAx>
        <c:axId val="1591365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1377247"/>
        <c:crosses val="autoZero"/>
        <c:auto val="1"/>
        <c:lblAlgn val="ctr"/>
        <c:lblOffset val="100"/>
        <c:noMultiLvlLbl val="0"/>
      </c:catAx>
      <c:valAx>
        <c:axId val="159137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Expenses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136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270863</xdr:colOff>
      <xdr:row>7</xdr:row>
      <xdr:rowOff>101600</xdr:rowOff>
    </xdr:from>
    <xdr:to>
      <xdr:col>5</xdr:col>
      <xdr:colOff>2089150</xdr:colOff>
      <xdr:row>21</xdr:row>
      <xdr:rowOff>38100</xdr:rowOff>
    </xdr:to>
    <xdr:sp macro="" textlink="">
      <xdr:nvSpPr>
        <xdr:cNvPr id="17" name="Rectangle 16">
          <a:extLst>
            <a:ext uri="{FF2B5EF4-FFF2-40B4-BE49-F238E27FC236}">
              <a16:creationId xmlns:a16="http://schemas.microsoft.com/office/drawing/2014/main" id="{C27E12CB-E4D6-2280-2FB7-9C0629A31D4A}"/>
            </a:ext>
          </a:extLst>
        </xdr:cNvPr>
        <xdr:cNvSpPr/>
      </xdr:nvSpPr>
      <xdr:spPr>
        <a:xfrm>
          <a:off x="270863" y="2019300"/>
          <a:ext cx="6891937" cy="2514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57150</xdr:colOff>
      <xdr:row>8</xdr:row>
      <xdr:rowOff>31750</xdr:rowOff>
    </xdr:from>
    <xdr:to>
      <xdr:col>5</xdr:col>
      <xdr:colOff>2070099</xdr:colOff>
      <xdr:row>20</xdr:row>
      <xdr:rowOff>171450</xdr:rowOff>
    </xdr:to>
    <xdr:graphicFrame macro="">
      <xdr:nvGraphicFramePr>
        <xdr:cNvPr id="23" name="Chart 22">
          <a:extLst>
            <a:ext uri="{FF2B5EF4-FFF2-40B4-BE49-F238E27FC236}">
              <a16:creationId xmlns:a16="http://schemas.microsoft.com/office/drawing/2014/main" id="{BB682894-4D21-4B01-B1F0-12EA471A3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387763</xdr:colOff>
      <xdr:row>27</xdr:row>
      <xdr:rowOff>181153</xdr:rowOff>
    </xdr:from>
    <xdr:to>
      <xdr:col>12</xdr:col>
      <xdr:colOff>61451</xdr:colOff>
      <xdr:row>37</xdr:row>
      <xdr:rowOff>9344</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50E7C1B2-FD7C-D052-DD17-D553BCD2936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15570" y="5651065"/>
              <a:ext cx="3494828" cy="17220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14948</xdr:colOff>
      <xdr:row>7</xdr:row>
      <xdr:rowOff>47848</xdr:rowOff>
    </xdr:from>
    <xdr:to>
      <xdr:col>12</xdr:col>
      <xdr:colOff>10241</xdr:colOff>
      <xdr:row>27</xdr:row>
      <xdr:rowOff>136897</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A3CE0046-1AB1-C0CB-16FD-82B63735EDF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43808" y="1919427"/>
              <a:ext cx="3415380" cy="36873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14042</xdr:colOff>
      <xdr:row>22</xdr:row>
      <xdr:rowOff>98775</xdr:rowOff>
    </xdr:from>
    <xdr:to>
      <xdr:col>5</xdr:col>
      <xdr:colOff>2100440</xdr:colOff>
      <xdr:row>36</xdr:row>
      <xdr:rowOff>35275</xdr:rowOff>
    </xdr:to>
    <xdr:sp macro="" textlink="">
      <xdr:nvSpPr>
        <xdr:cNvPr id="26" name="Rectangle 25">
          <a:extLst>
            <a:ext uri="{FF2B5EF4-FFF2-40B4-BE49-F238E27FC236}">
              <a16:creationId xmlns:a16="http://schemas.microsoft.com/office/drawing/2014/main" id="{2909D13F-D6F6-7CB5-D0C9-15162822D223}"/>
            </a:ext>
          </a:extLst>
        </xdr:cNvPr>
        <xdr:cNvSpPr/>
      </xdr:nvSpPr>
      <xdr:spPr>
        <a:xfrm>
          <a:off x="282153" y="4769553"/>
          <a:ext cx="6898287" cy="250472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350797</xdr:colOff>
      <xdr:row>7</xdr:row>
      <xdr:rowOff>87304</xdr:rowOff>
    </xdr:from>
    <xdr:to>
      <xdr:col>10</xdr:col>
      <xdr:colOff>317115</xdr:colOff>
      <xdr:row>21</xdr:row>
      <xdr:rowOff>23803</xdr:rowOff>
    </xdr:to>
    <xdr:sp macro="" textlink="">
      <xdr:nvSpPr>
        <xdr:cNvPr id="27" name="Rectangle 26">
          <a:extLst>
            <a:ext uri="{FF2B5EF4-FFF2-40B4-BE49-F238E27FC236}">
              <a16:creationId xmlns:a16="http://schemas.microsoft.com/office/drawing/2014/main" id="{0AD8A3ED-8562-EEED-8A3F-E3A0F41706AD}"/>
            </a:ext>
          </a:extLst>
        </xdr:cNvPr>
        <xdr:cNvSpPr/>
      </xdr:nvSpPr>
      <xdr:spPr>
        <a:xfrm>
          <a:off x="7530394" y="2002546"/>
          <a:ext cx="6889866" cy="251746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1342</xdr:colOff>
      <xdr:row>22</xdr:row>
      <xdr:rowOff>86074</xdr:rowOff>
    </xdr:from>
    <xdr:to>
      <xdr:col>10</xdr:col>
      <xdr:colOff>326128</xdr:colOff>
      <xdr:row>36</xdr:row>
      <xdr:rowOff>22574</xdr:rowOff>
    </xdr:to>
    <xdr:sp macro="" textlink="">
      <xdr:nvSpPr>
        <xdr:cNvPr id="29" name="Rectangle 28">
          <a:extLst>
            <a:ext uri="{FF2B5EF4-FFF2-40B4-BE49-F238E27FC236}">
              <a16:creationId xmlns:a16="http://schemas.microsoft.com/office/drawing/2014/main" id="{643D7B0B-F7CE-0A57-9DEF-8EE50A72AF3B}"/>
            </a:ext>
          </a:extLst>
        </xdr:cNvPr>
        <xdr:cNvSpPr/>
      </xdr:nvSpPr>
      <xdr:spPr>
        <a:xfrm>
          <a:off x="7539407" y="4766639"/>
          <a:ext cx="6889866" cy="251746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54842</xdr:colOff>
      <xdr:row>22</xdr:row>
      <xdr:rowOff>172421</xdr:rowOff>
    </xdr:from>
    <xdr:to>
      <xdr:col>5</xdr:col>
      <xdr:colOff>2027903</xdr:colOff>
      <xdr:row>35</xdr:row>
      <xdr:rowOff>143388</xdr:rowOff>
    </xdr:to>
    <xdr:graphicFrame macro="">
      <xdr:nvGraphicFramePr>
        <xdr:cNvPr id="14" name="Chart 13">
          <a:extLst>
            <a:ext uri="{FF2B5EF4-FFF2-40B4-BE49-F238E27FC236}">
              <a16:creationId xmlns:a16="http://schemas.microsoft.com/office/drawing/2014/main" id="{FDE0CCD1-2A36-4A6F-8CB6-8ACD05B14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228141</xdr:colOff>
      <xdr:row>8</xdr:row>
      <xdr:rowOff>13425</xdr:rowOff>
    </xdr:from>
    <xdr:to>
      <xdr:col>10</xdr:col>
      <xdr:colOff>225323</xdr:colOff>
      <xdr:row>20</xdr:row>
      <xdr:rowOff>133145</xdr:rowOff>
    </xdr:to>
    <xdr:graphicFrame macro="">
      <xdr:nvGraphicFramePr>
        <xdr:cNvPr id="16" name="Chart 15">
          <a:extLst>
            <a:ext uri="{FF2B5EF4-FFF2-40B4-BE49-F238E27FC236}">
              <a16:creationId xmlns:a16="http://schemas.microsoft.com/office/drawing/2014/main" id="{BE684A3B-8D5C-4E25-A473-33F298B7B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134851</xdr:colOff>
      <xdr:row>22</xdr:row>
      <xdr:rowOff>155206</xdr:rowOff>
    </xdr:from>
    <xdr:to>
      <xdr:col>10</xdr:col>
      <xdr:colOff>235565</xdr:colOff>
      <xdr:row>35</xdr:row>
      <xdr:rowOff>122903</xdr:rowOff>
    </xdr:to>
    <xdr:graphicFrame macro="">
      <xdr:nvGraphicFramePr>
        <xdr:cNvPr id="21" name="Chart 20">
          <a:extLst>
            <a:ext uri="{FF2B5EF4-FFF2-40B4-BE49-F238E27FC236}">
              <a16:creationId xmlns:a16="http://schemas.microsoft.com/office/drawing/2014/main" id="{056F559E-E9AB-45B1-B6FE-6CB48C91F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146538</xdr:rowOff>
    </xdr:from>
    <xdr:to>
      <xdr:col>7</xdr:col>
      <xdr:colOff>498231</xdr:colOff>
      <xdr:row>22</xdr:row>
      <xdr:rowOff>97692</xdr:rowOff>
    </xdr:to>
    <xdr:graphicFrame macro="">
      <xdr:nvGraphicFramePr>
        <xdr:cNvPr id="3" name="Chart 2">
          <a:extLst>
            <a:ext uri="{FF2B5EF4-FFF2-40B4-BE49-F238E27FC236}">
              <a16:creationId xmlns:a16="http://schemas.microsoft.com/office/drawing/2014/main" id="{1A69C0ED-DDA5-46C5-9305-4F050ED78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426426</xdr:colOff>
      <xdr:row>8</xdr:row>
      <xdr:rowOff>31263</xdr:rowOff>
    </xdr:from>
    <xdr:to>
      <xdr:col>16</xdr:col>
      <xdr:colOff>120650</xdr:colOff>
      <xdr:row>21</xdr:row>
      <xdr:rowOff>152401</xdr:rowOff>
    </xdr:to>
    <xdr:graphicFrame macro="">
      <xdr:nvGraphicFramePr>
        <xdr:cNvPr id="5" name="Chart 4">
          <a:extLst>
            <a:ext uri="{FF2B5EF4-FFF2-40B4-BE49-F238E27FC236}">
              <a16:creationId xmlns:a16="http://schemas.microsoft.com/office/drawing/2014/main" id="{7866A27B-52D0-4DAC-9C2E-A64EBD70F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76177</xdr:colOff>
      <xdr:row>30</xdr:row>
      <xdr:rowOff>33726</xdr:rowOff>
    </xdr:from>
    <xdr:to>
      <xdr:col>8</xdr:col>
      <xdr:colOff>310804</xdr:colOff>
      <xdr:row>45</xdr:row>
      <xdr:rowOff>32227</xdr:rowOff>
    </xdr:to>
    <xdr:graphicFrame macro="">
      <xdr:nvGraphicFramePr>
        <xdr:cNvPr id="7" name="Chart 6">
          <a:extLst>
            <a:ext uri="{FF2B5EF4-FFF2-40B4-BE49-F238E27FC236}">
              <a16:creationId xmlns:a16="http://schemas.microsoft.com/office/drawing/2014/main" id="{8FA9B1E2-7D2F-43AE-8252-05D470B3D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269235</xdr:colOff>
      <xdr:row>29</xdr:row>
      <xdr:rowOff>19772</xdr:rowOff>
    </xdr:from>
    <xdr:to>
      <xdr:col>18</xdr:col>
      <xdr:colOff>348665</xdr:colOff>
      <xdr:row>46</xdr:row>
      <xdr:rowOff>57203</xdr:rowOff>
    </xdr:to>
    <xdr:graphicFrame macro="">
      <xdr:nvGraphicFramePr>
        <xdr:cNvPr id="9" name="Chart 8">
          <a:extLst>
            <a:ext uri="{FF2B5EF4-FFF2-40B4-BE49-F238E27FC236}">
              <a16:creationId xmlns:a16="http://schemas.microsoft.com/office/drawing/2014/main" id="{E79AC534-949D-4813-9C75-D1A1C5A3D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5.608223148149" createdVersion="8" refreshedVersion="8" minRefreshableVersion="3" recordCount="60" xr:uid="{9338ACCA-C996-4D88-A2BA-9A2F9E8AC50D}">
  <cacheSource type="worksheet">
    <worksheetSource ref="A2:L66" sheet="CLEANED DATA"/>
  </cacheSource>
  <cacheFields count="12">
    <cacheField name="Year" numFmtId="0">
      <sharedItems containsSemiMixedTypes="0" containsString="0" containsNumber="1" containsInteger="1" minValue="2021" maxValue="2025" count="5">
        <n v="2021"/>
        <n v="2022"/>
        <n v="2023"/>
        <n v="2024"/>
        <n v="2025"/>
      </sharedItems>
    </cacheField>
    <cacheField name="Month" numFmtId="0">
      <sharedItems count="12">
        <s v="Jan"/>
        <s v="Feb"/>
        <s v="Mar"/>
        <s v="Apr"/>
        <s v="May"/>
        <s v="Jun"/>
        <s v="Jul"/>
        <s v="Aug"/>
        <s v="Sep"/>
        <s v="Oct"/>
        <s v="Nov"/>
        <s v="Dec"/>
      </sharedItems>
    </cacheField>
    <cacheField name="Revenue" numFmtId="3">
      <sharedItems containsSemiMixedTypes="0" containsString="0" containsNumber="1" containsInteger="1" minValue="820000" maxValue="1780000"/>
    </cacheField>
    <cacheField name="Cost Of Goods Sold" numFmtId="3">
      <sharedItems containsSemiMixedTypes="0" containsString="0" containsNumber="1" containsInteger="1" minValue="500000" maxValue="1090000"/>
    </cacheField>
    <cacheField name="Operating Expenses" numFmtId="3">
      <sharedItems containsSemiMixedTypes="0" containsString="0" containsNumber="1" containsInteger="1" minValue="138000" maxValue="190000" count="21">
        <n v="140000"/>
        <n v="138000"/>
        <n v="145000"/>
        <n v="142000"/>
        <n v="148000"/>
        <n v="150000"/>
        <n v="152000"/>
        <n v="155000"/>
        <n v="160000"/>
        <n v="165000"/>
        <n v="175000"/>
        <n v="158000"/>
        <n v="162000"/>
        <n v="168000"/>
        <n v="172000"/>
        <n v="180000"/>
        <n v="170000"/>
        <n v="185000"/>
        <n v="178000"/>
        <n v="182000"/>
        <n v="190000"/>
      </sharedItems>
    </cacheField>
    <cacheField name="Marketing Expenses" numFmtId="3">
      <sharedItems containsSemiMixedTypes="0" containsString="0" containsNumber="1" containsInteger="1" minValue="42000" maxValue="95000" count="30">
        <n v="45000"/>
        <n v="42000"/>
        <n v="47000"/>
        <n v="46000"/>
        <n v="48000"/>
        <n v="50000"/>
        <n v="52000"/>
        <n v="51000"/>
        <n v="54000"/>
        <n v="58000"/>
        <n v="62000"/>
        <n v="70000"/>
        <n v="49000"/>
        <n v="55000"/>
        <n v="60000"/>
        <n v="59000"/>
        <n v="63000"/>
        <n v="68000"/>
        <n v="72000"/>
        <n v="80000"/>
        <n v="56000"/>
        <n v="65000"/>
        <n v="64000"/>
        <n v="76000"/>
        <n v="85000"/>
        <n v="66000"/>
        <n v="69000"/>
        <n v="90000"/>
        <n v="71000"/>
        <n v="95000"/>
      </sharedItems>
    </cacheField>
    <cacheField name="Other Expenses" numFmtId="3">
      <sharedItems containsSemiMixedTypes="0" containsString="0" containsNumber="1" containsInteger="1" minValue="28000" maxValue="70000" count="30">
        <n v="30000"/>
        <n v="28000"/>
        <n v="31000"/>
        <n v="29500"/>
        <n v="32000"/>
        <n v="33000"/>
        <n v="35000"/>
        <n v="34000"/>
        <n v="36000"/>
        <n v="38000"/>
        <n v="40000"/>
        <n v="45000"/>
        <n v="42000"/>
        <n v="41000"/>
        <n v="44000"/>
        <n v="47000"/>
        <n v="50000"/>
        <n v="56000"/>
        <n v="46000"/>
        <n v="53000"/>
        <n v="62000"/>
        <n v="52000"/>
        <n v="51000"/>
        <n v="55000"/>
        <n v="58000"/>
        <n v="61000"/>
        <n v="68000"/>
        <n v="48000"/>
        <n v="54000"/>
        <n v="70000"/>
      </sharedItems>
    </cacheField>
    <cacheField name="Gross Profit" numFmtId="3">
      <sharedItems containsSemiMixedTypes="0" containsString="0" containsNumber="1" containsInteger="1" minValue="320000" maxValue="730000"/>
    </cacheField>
    <cacheField name="Total Expenses" numFmtId="3">
      <sharedItems containsSemiMixedTypes="0" containsString="0" containsNumber="1" containsInteger="1" minValue="208000" maxValue="355000"/>
    </cacheField>
    <cacheField name="Net Profit" numFmtId="3">
      <sharedItems containsSemiMixedTypes="0" containsString="0" containsNumber="1" containsInteger="1" minValue="112000" maxValue="425000"/>
    </cacheField>
    <cacheField name="Net Profit Margin (%)" numFmtId="164">
      <sharedItems containsSemiMixedTypes="0" containsString="0" containsNumber="1" minValue="0.13658536585365855" maxValue="0.265625" count="55">
        <n v="0.14705882352941177"/>
        <n v="0.13658536585365855"/>
        <n v="0.15222222222222223"/>
        <n v="0.14655172413793102"/>
        <n v="0.15434782608695652"/>
        <n v="0.15473684210526314"/>
        <n v="0.15408163265306121"/>
        <n v="0.15104166666666666"/>
        <n v="0.16176470588235295"/>
        <n v="0.16111111111111112"/>
        <n v="0.16782608695652174"/>
        <n v="0.17692307692307693"/>
        <n v="0.15869565217391304"/>
        <n v="0.15888888888888889"/>
        <n v="0.16224489795918368"/>
        <n v="0.1603960396039604"/>
        <n v="0.16226415094339622"/>
        <n v="0.16727272727272727"/>
        <n v="0.1649122807017544"/>
        <n v="0.16250000000000001"/>
        <n v="0.17033898305084746"/>
        <n v="0.1736"/>
        <n v="0.1787878787878788"/>
        <n v="0.1918918918918919"/>
        <n v="0.17333333333333334"/>
        <n v="0.16470588235294117"/>
        <n v="0.17818181818181819"/>
        <n v="0.18333333333333332"/>
        <n v="0.17881355932203391"/>
        <n v="0.18360655737704917"/>
        <n v="0.1858267716535433"/>
        <n v="0.184"/>
        <n v="0.18712121212121213"/>
        <n v="0.18478260869565216"/>
        <n v="0.18827586206896552"/>
        <n v="0.20246913580246914"/>
        <n v="0.18559322033898304"/>
        <n v="0.17913043478260871"/>
        <n v="0.1886178861788618"/>
        <n v="0.19370078740157481"/>
        <n v="0.19318181818181818"/>
        <n v="0.18823529411764706"/>
        <n v="0.19078014184397163"/>
        <n v="0.18920863309352517"/>
        <n v="0.19246575342465752"/>
        <n v="0.18947368421052632"/>
        <n v="0.198125"/>
        <n v="0.21460674157303372"/>
        <n v="0.19692307692307692"/>
        <n v="0.19687499999999999"/>
        <n v="0.2"/>
        <n v="0.20142857142857143"/>
        <n v="0.20206896551724138"/>
        <n v="0.265625"/>
        <n v="0.16954022988505746"/>
      </sharedItems>
    </cacheField>
    <cacheField name="Monthly Growth Rate %" numFmtId="0">
      <sharedItems containsMixedTypes="1" containsNumber="1" minValue="-0.38750000000000001" maxValue="0.49019607843137253" count="55">
        <s v="N/A"/>
        <n v="-3.5294117647058823E-2"/>
        <n v="9.7560975609756101E-2"/>
        <n v="-3.3333333333333333E-2"/>
        <n v="5.7471264367816091E-2"/>
        <n v="3.2608695652173912E-2"/>
        <n v="3.1578947368421054E-2"/>
        <n v="-2.0408163265306121E-2"/>
        <n v="6.25E-2"/>
        <n v="5.8823529411764705E-2"/>
        <n v="6.4814814814814811E-2"/>
        <n v="0.13043478260869565"/>
        <n v="-0.29230769230769232"/>
        <n v="-2.1739130434782608E-2"/>
        <n v="8.8888888888888892E-2"/>
        <n v="3.0612244897959183E-2"/>
        <n v="4.9504950495049507E-2"/>
        <n v="3.7735849056603772E-2"/>
        <n v="3.6363636363636362E-2"/>
        <n v="-1.7543859649122806E-2"/>
        <n v="5.3571428571428568E-2"/>
        <n v="5.9322033898305086E-2"/>
        <n v="5.6000000000000001E-2"/>
        <n v="0.12121212121212122"/>
        <n v="-0.29054054054054052"/>
        <n v="-2.8571428571428571E-2"/>
        <n v="7.8431372549019607E-2"/>
        <n v="3.5087719298245612E-2"/>
        <n v="3.3898305084745763E-2"/>
        <n v="4.0983606557377046E-2"/>
        <n v="-1.5748031496062992E-2"/>
        <n v="4.5454545454545456E-2"/>
        <n v="5.0724637681159424E-2"/>
        <n v="0.11724137931034483"/>
        <n v="-0.27160493827160492"/>
        <n v="-2.5423728813559324E-2"/>
        <n v="6.9565217391304349E-2"/>
        <n v="3.2520325203252036E-2"/>
        <n v="3.937007874015748E-2"/>
        <n v="3.0303030303030304E-2"/>
        <n v="3.6764705882352942E-2"/>
        <n v="-1.4184397163120567E-2"/>
        <n v="5.0359712230215826E-2"/>
        <n v="4.1095890410958902E-2"/>
        <n v="5.2631578947368418E-2"/>
        <n v="0.1125"/>
        <n v="-0.2696629213483146"/>
        <n v="-1.5384615384615385E-2"/>
        <n v="5.46875E-2"/>
        <n v="3.7037037037037035E-2"/>
        <n v="3.5714285714285712E-2"/>
        <n v="0.10344827586206896"/>
        <n v="-0.38750000000000001"/>
        <n v="0.49019607843137253"/>
        <n v="8.7499999999999994E-2"/>
      </sharedItems>
    </cacheField>
  </cacheFields>
  <extLst>
    <ext xmlns:x14="http://schemas.microsoft.com/office/spreadsheetml/2009/9/main" uri="{725AE2AE-9491-48be-B2B4-4EB974FC3084}">
      <x14:pivotCacheDefinition pivotCacheId="92183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850000"/>
    <n v="510000"/>
    <x v="0"/>
    <x v="0"/>
    <x v="0"/>
    <n v="340000"/>
    <n v="215000"/>
    <n v="125000"/>
    <x v="0"/>
    <x v="0"/>
  </r>
  <r>
    <x v="0"/>
    <x v="1"/>
    <n v="820000"/>
    <n v="500000"/>
    <x v="1"/>
    <x v="1"/>
    <x v="1"/>
    <n v="320000"/>
    <n v="208000"/>
    <n v="112000"/>
    <x v="1"/>
    <x v="1"/>
  </r>
  <r>
    <x v="0"/>
    <x v="2"/>
    <n v="900000"/>
    <n v="540000"/>
    <x v="2"/>
    <x v="2"/>
    <x v="2"/>
    <n v="360000"/>
    <n v="223000"/>
    <n v="137000"/>
    <x v="2"/>
    <x v="2"/>
  </r>
  <r>
    <x v="0"/>
    <x v="3"/>
    <n v="870000"/>
    <n v="525000"/>
    <x v="3"/>
    <x v="3"/>
    <x v="3"/>
    <n v="345000"/>
    <n v="217500"/>
    <n v="127500"/>
    <x v="3"/>
    <x v="3"/>
  </r>
  <r>
    <x v="0"/>
    <x v="4"/>
    <n v="920000"/>
    <n v="550000"/>
    <x v="4"/>
    <x v="4"/>
    <x v="4"/>
    <n v="370000"/>
    <n v="228000"/>
    <n v="142000"/>
    <x v="4"/>
    <x v="4"/>
  </r>
  <r>
    <x v="0"/>
    <x v="5"/>
    <n v="950000"/>
    <n v="570000"/>
    <x v="5"/>
    <x v="5"/>
    <x v="5"/>
    <n v="380000"/>
    <n v="233000"/>
    <n v="147000"/>
    <x v="5"/>
    <x v="5"/>
  </r>
  <r>
    <x v="0"/>
    <x v="6"/>
    <n v="980000"/>
    <n v="590000"/>
    <x v="6"/>
    <x v="6"/>
    <x v="6"/>
    <n v="390000"/>
    <n v="239000"/>
    <n v="151000"/>
    <x v="6"/>
    <x v="6"/>
  </r>
  <r>
    <x v="0"/>
    <x v="7"/>
    <n v="960000"/>
    <n v="580000"/>
    <x v="5"/>
    <x v="7"/>
    <x v="7"/>
    <n v="380000"/>
    <n v="235000"/>
    <n v="145000"/>
    <x v="7"/>
    <x v="7"/>
  </r>
  <r>
    <x v="0"/>
    <x v="8"/>
    <n v="1020000"/>
    <n v="610000"/>
    <x v="7"/>
    <x v="8"/>
    <x v="8"/>
    <n v="410000"/>
    <n v="245000"/>
    <n v="165000"/>
    <x v="8"/>
    <x v="8"/>
  </r>
  <r>
    <x v="0"/>
    <x v="9"/>
    <n v="1080000"/>
    <n v="650000"/>
    <x v="8"/>
    <x v="9"/>
    <x v="9"/>
    <n v="430000"/>
    <n v="256000"/>
    <n v="174000"/>
    <x v="9"/>
    <x v="9"/>
  </r>
  <r>
    <x v="0"/>
    <x v="10"/>
    <n v="1150000"/>
    <n v="690000"/>
    <x v="9"/>
    <x v="10"/>
    <x v="10"/>
    <n v="460000"/>
    <n v="267000"/>
    <n v="193000"/>
    <x v="10"/>
    <x v="10"/>
  </r>
  <r>
    <x v="0"/>
    <x v="11"/>
    <n v="1300000"/>
    <n v="780000"/>
    <x v="10"/>
    <x v="11"/>
    <x v="11"/>
    <n v="520000"/>
    <n v="290000"/>
    <n v="230000"/>
    <x v="11"/>
    <x v="11"/>
  </r>
  <r>
    <x v="1"/>
    <x v="0"/>
    <n v="920000"/>
    <n v="550000"/>
    <x v="2"/>
    <x v="2"/>
    <x v="4"/>
    <n v="370000"/>
    <n v="224000"/>
    <n v="146000"/>
    <x v="12"/>
    <x v="12"/>
  </r>
  <r>
    <x v="1"/>
    <x v="1"/>
    <n v="900000"/>
    <n v="540000"/>
    <x v="3"/>
    <x v="0"/>
    <x v="0"/>
    <n v="360000"/>
    <n v="217000"/>
    <n v="143000"/>
    <x v="13"/>
    <x v="13"/>
  </r>
  <r>
    <x v="1"/>
    <x v="2"/>
    <n v="980000"/>
    <n v="590000"/>
    <x v="4"/>
    <x v="12"/>
    <x v="7"/>
    <n v="390000"/>
    <n v="231000"/>
    <n v="159000"/>
    <x v="14"/>
    <x v="14"/>
  </r>
  <r>
    <x v="1"/>
    <x v="3"/>
    <n v="1010000"/>
    <n v="610000"/>
    <x v="5"/>
    <x v="6"/>
    <x v="8"/>
    <n v="400000"/>
    <n v="238000"/>
    <n v="162000"/>
    <x v="15"/>
    <x v="15"/>
  </r>
  <r>
    <x v="1"/>
    <x v="4"/>
    <n v="1060000"/>
    <n v="640000"/>
    <x v="7"/>
    <x v="13"/>
    <x v="9"/>
    <n v="420000"/>
    <n v="248000"/>
    <n v="172000"/>
    <x v="16"/>
    <x v="16"/>
  </r>
  <r>
    <x v="1"/>
    <x v="5"/>
    <n v="1100000"/>
    <n v="660000"/>
    <x v="11"/>
    <x v="9"/>
    <x v="10"/>
    <n v="440000"/>
    <n v="256000"/>
    <n v="184000"/>
    <x v="17"/>
    <x v="17"/>
  </r>
  <r>
    <x v="1"/>
    <x v="6"/>
    <n v="1140000"/>
    <n v="690000"/>
    <x v="8"/>
    <x v="14"/>
    <x v="12"/>
    <n v="450000"/>
    <n v="262000"/>
    <n v="188000"/>
    <x v="18"/>
    <x v="18"/>
  </r>
  <r>
    <x v="1"/>
    <x v="7"/>
    <n v="1120000"/>
    <n v="680000"/>
    <x v="11"/>
    <x v="15"/>
    <x v="13"/>
    <n v="440000"/>
    <n v="258000"/>
    <n v="182000"/>
    <x v="19"/>
    <x v="19"/>
  </r>
  <r>
    <x v="1"/>
    <x v="8"/>
    <n v="1180000"/>
    <n v="710000"/>
    <x v="12"/>
    <x v="16"/>
    <x v="14"/>
    <n v="470000"/>
    <n v="269000"/>
    <n v="201000"/>
    <x v="20"/>
    <x v="20"/>
  </r>
  <r>
    <x v="1"/>
    <x v="9"/>
    <n v="1250000"/>
    <n v="750000"/>
    <x v="13"/>
    <x v="17"/>
    <x v="15"/>
    <n v="500000"/>
    <n v="283000"/>
    <n v="217000"/>
    <x v="21"/>
    <x v="21"/>
  </r>
  <r>
    <x v="1"/>
    <x v="10"/>
    <n v="1320000"/>
    <n v="790000"/>
    <x v="14"/>
    <x v="18"/>
    <x v="16"/>
    <n v="530000"/>
    <n v="294000"/>
    <n v="236000"/>
    <x v="22"/>
    <x v="22"/>
  </r>
  <r>
    <x v="1"/>
    <x v="11"/>
    <n v="1480000"/>
    <n v="880000"/>
    <x v="15"/>
    <x v="19"/>
    <x v="17"/>
    <n v="600000"/>
    <n v="316000"/>
    <n v="284000"/>
    <x v="23"/>
    <x v="23"/>
  </r>
  <r>
    <x v="2"/>
    <x v="0"/>
    <n v="1050000"/>
    <n v="630000"/>
    <x v="5"/>
    <x v="6"/>
    <x v="8"/>
    <n v="420000"/>
    <n v="238000"/>
    <n v="182000"/>
    <x v="24"/>
    <x v="24"/>
  </r>
  <r>
    <x v="2"/>
    <x v="1"/>
    <n v="1020000"/>
    <n v="620000"/>
    <x v="4"/>
    <x v="5"/>
    <x v="7"/>
    <n v="400000"/>
    <n v="232000"/>
    <n v="168000"/>
    <x v="25"/>
    <x v="25"/>
  </r>
  <r>
    <x v="2"/>
    <x v="2"/>
    <n v="1100000"/>
    <n v="660000"/>
    <x v="6"/>
    <x v="8"/>
    <x v="9"/>
    <n v="440000"/>
    <n v="244000"/>
    <n v="196000"/>
    <x v="26"/>
    <x v="26"/>
  </r>
  <r>
    <x v="2"/>
    <x v="3"/>
    <n v="1140000"/>
    <n v="680000"/>
    <x v="7"/>
    <x v="20"/>
    <x v="10"/>
    <n v="460000"/>
    <n v="251000"/>
    <n v="209000"/>
    <x v="27"/>
    <x v="18"/>
  </r>
  <r>
    <x v="2"/>
    <x v="4"/>
    <n v="1180000"/>
    <n v="710000"/>
    <x v="11"/>
    <x v="15"/>
    <x v="12"/>
    <n v="470000"/>
    <n v="259000"/>
    <n v="211000"/>
    <x v="28"/>
    <x v="27"/>
  </r>
  <r>
    <x v="2"/>
    <x v="5"/>
    <n v="1220000"/>
    <n v="730000"/>
    <x v="8"/>
    <x v="10"/>
    <x v="14"/>
    <n v="490000"/>
    <n v="266000"/>
    <n v="224000"/>
    <x v="29"/>
    <x v="28"/>
  </r>
  <r>
    <x v="2"/>
    <x v="6"/>
    <n v="1270000"/>
    <n v="760000"/>
    <x v="12"/>
    <x v="21"/>
    <x v="15"/>
    <n v="510000"/>
    <n v="274000"/>
    <n v="236000"/>
    <x v="30"/>
    <x v="29"/>
  </r>
  <r>
    <x v="2"/>
    <x v="7"/>
    <n v="1250000"/>
    <n v="750000"/>
    <x v="8"/>
    <x v="22"/>
    <x v="18"/>
    <n v="500000"/>
    <n v="270000"/>
    <n v="230000"/>
    <x v="31"/>
    <x v="30"/>
  </r>
  <r>
    <x v="2"/>
    <x v="8"/>
    <n v="1320000"/>
    <n v="790000"/>
    <x v="9"/>
    <x v="17"/>
    <x v="16"/>
    <n v="530000"/>
    <n v="283000"/>
    <n v="247000"/>
    <x v="32"/>
    <x v="22"/>
  </r>
  <r>
    <x v="2"/>
    <x v="9"/>
    <n v="1380000"/>
    <n v="830000"/>
    <x v="16"/>
    <x v="18"/>
    <x v="19"/>
    <n v="550000"/>
    <n v="295000"/>
    <n v="255000"/>
    <x v="33"/>
    <x v="31"/>
  </r>
  <r>
    <x v="2"/>
    <x v="10"/>
    <n v="1450000"/>
    <n v="870000"/>
    <x v="10"/>
    <x v="23"/>
    <x v="17"/>
    <n v="580000"/>
    <n v="307000"/>
    <n v="273000"/>
    <x v="34"/>
    <x v="32"/>
  </r>
  <r>
    <x v="2"/>
    <x v="11"/>
    <n v="1620000"/>
    <n v="960000"/>
    <x v="17"/>
    <x v="24"/>
    <x v="20"/>
    <n v="660000"/>
    <n v="332000"/>
    <n v="328000"/>
    <x v="35"/>
    <x v="33"/>
  </r>
  <r>
    <x v="3"/>
    <x v="0"/>
    <n v="1180000"/>
    <n v="710000"/>
    <x v="7"/>
    <x v="20"/>
    <x v="10"/>
    <n v="470000"/>
    <n v="251000"/>
    <n v="219000"/>
    <x v="36"/>
    <x v="34"/>
  </r>
  <r>
    <x v="3"/>
    <x v="1"/>
    <n v="1150000"/>
    <n v="700000"/>
    <x v="6"/>
    <x v="8"/>
    <x v="9"/>
    <n v="450000"/>
    <n v="244000"/>
    <n v="206000"/>
    <x v="37"/>
    <x v="35"/>
  </r>
  <r>
    <x v="3"/>
    <x v="2"/>
    <n v="1230000"/>
    <n v="740000"/>
    <x v="11"/>
    <x v="9"/>
    <x v="12"/>
    <n v="490000"/>
    <n v="258000"/>
    <n v="232000"/>
    <x v="38"/>
    <x v="36"/>
  </r>
  <r>
    <x v="3"/>
    <x v="3"/>
    <n v="1270000"/>
    <n v="760000"/>
    <x v="8"/>
    <x v="14"/>
    <x v="14"/>
    <n v="510000"/>
    <n v="264000"/>
    <n v="246000"/>
    <x v="39"/>
    <x v="37"/>
  </r>
  <r>
    <x v="3"/>
    <x v="4"/>
    <n v="1320000"/>
    <n v="790000"/>
    <x v="9"/>
    <x v="16"/>
    <x v="15"/>
    <n v="530000"/>
    <n v="275000"/>
    <n v="255000"/>
    <x v="40"/>
    <x v="38"/>
  </r>
  <r>
    <x v="3"/>
    <x v="5"/>
    <n v="1360000"/>
    <n v="820000"/>
    <x v="13"/>
    <x v="25"/>
    <x v="16"/>
    <n v="540000"/>
    <n v="284000"/>
    <n v="256000"/>
    <x v="41"/>
    <x v="39"/>
  </r>
  <r>
    <x v="3"/>
    <x v="6"/>
    <n v="1410000"/>
    <n v="850000"/>
    <x v="16"/>
    <x v="26"/>
    <x v="21"/>
    <n v="560000"/>
    <n v="291000"/>
    <n v="269000"/>
    <x v="42"/>
    <x v="40"/>
  </r>
  <r>
    <x v="3"/>
    <x v="7"/>
    <n v="1390000"/>
    <n v="840000"/>
    <x v="13"/>
    <x v="17"/>
    <x v="22"/>
    <n v="550000"/>
    <n v="287000"/>
    <n v="263000"/>
    <x v="43"/>
    <x v="41"/>
  </r>
  <r>
    <x v="3"/>
    <x v="8"/>
    <n v="1460000"/>
    <n v="880000"/>
    <x v="14"/>
    <x v="18"/>
    <x v="23"/>
    <n v="580000"/>
    <n v="299000"/>
    <n v="281000"/>
    <x v="44"/>
    <x v="42"/>
  </r>
  <r>
    <x v="3"/>
    <x v="9"/>
    <n v="1520000"/>
    <n v="920000"/>
    <x v="18"/>
    <x v="23"/>
    <x v="24"/>
    <n v="600000"/>
    <n v="312000"/>
    <n v="288000"/>
    <x v="45"/>
    <x v="43"/>
  </r>
  <r>
    <x v="3"/>
    <x v="10"/>
    <n v="1600000"/>
    <n v="960000"/>
    <x v="19"/>
    <x v="19"/>
    <x v="25"/>
    <n v="640000"/>
    <n v="323000"/>
    <n v="317000"/>
    <x v="46"/>
    <x v="44"/>
  </r>
  <r>
    <x v="3"/>
    <x v="11"/>
    <n v="1780000"/>
    <n v="1050000"/>
    <x v="20"/>
    <x v="27"/>
    <x v="26"/>
    <n v="730000"/>
    <n v="348000"/>
    <n v="382000"/>
    <x v="47"/>
    <x v="45"/>
  </r>
  <r>
    <x v="4"/>
    <x v="0"/>
    <n v="1300000"/>
    <n v="780000"/>
    <x v="8"/>
    <x v="14"/>
    <x v="14"/>
    <n v="520000"/>
    <n v="264000"/>
    <n v="256000"/>
    <x v="48"/>
    <x v="46"/>
  </r>
  <r>
    <x v="4"/>
    <x v="1"/>
    <n v="1280000"/>
    <n v="770000"/>
    <x v="11"/>
    <x v="9"/>
    <x v="12"/>
    <n v="510000"/>
    <n v="258000"/>
    <n v="252000"/>
    <x v="49"/>
    <x v="47"/>
  </r>
  <r>
    <x v="4"/>
    <x v="2"/>
    <n v="1350000"/>
    <n v="810000"/>
    <x v="12"/>
    <x v="10"/>
    <x v="18"/>
    <n v="540000"/>
    <n v="270000"/>
    <n v="270000"/>
    <x v="50"/>
    <x v="48"/>
  </r>
  <r>
    <x v="4"/>
    <x v="3"/>
    <n v="1400000"/>
    <n v="840000"/>
    <x v="9"/>
    <x v="21"/>
    <x v="27"/>
    <n v="560000"/>
    <n v="278000"/>
    <n v="282000"/>
    <x v="51"/>
    <x v="49"/>
  </r>
  <r>
    <x v="4"/>
    <x v="4"/>
    <n v="1450000"/>
    <n v="870000"/>
    <x v="13"/>
    <x v="17"/>
    <x v="22"/>
    <n v="580000"/>
    <n v="287000"/>
    <n v="293000"/>
    <x v="52"/>
    <x v="50"/>
  </r>
  <r>
    <x v="4"/>
    <x v="5"/>
    <n v="1600000"/>
    <n v="900000"/>
    <x v="5"/>
    <x v="28"/>
    <x v="28"/>
    <n v="700000"/>
    <n v="275000"/>
    <n v="425000"/>
    <x v="53"/>
    <x v="51"/>
  </r>
  <r>
    <x v="4"/>
    <x v="6"/>
    <n v="980000"/>
    <n v="590000"/>
    <x v="6"/>
    <x v="6"/>
    <x v="6"/>
    <n v="390000"/>
    <n v="239000"/>
    <n v="151000"/>
    <x v="6"/>
    <x v="52"/>
  </r>
  <r>
    <x v="4"/>
    <x v="7"/>
    <n v="960000"/>
    <n v="580000"/>
    <x v="5"/>
    <x v="7"/>
    <x v="7"/>
    <n v="380000"/>
    <n v="235000"/>
    <n v="145000"/>
    <x v="7"/>
    <x v="7"/>
  </r>
  <r>
    <x v="4"/>
    <x v="8"/>
    <n v="1020000"/>
    <n v="610000"/>
    <x v="7"/>
    <x v="8"/>
    <x v="8"/>
    <n v="410000"/>
    <n v="245000"/>
    <n v="165000"/>
    <x v="8"/>
    <x v="8"/>
  </r>
  <r>
    <x v="4"/>
    <x v="9"/>
    <n v="1520000"/>
    <n v="920000"/>
    <x v="18"/>
    <x v="23"/>
    <x v="24"/>
    <n v="600000"/>
    <n v="312000"/>
    <n v="288000"/>
    <x v="45"/>
    <x v="53"/>
  </r>
  <r>
    <x v="4"/>
    <x v="10"/>
    <n v="1600000"/>
    <n v="960000"/>
    <x v="19"/>
    <x v="19"/>
    <x v="25"/>
    <n v="640000"/>
    <n v="323000"/>
    <n v="317000"/>
    <x v="46"/>
    <x v="44"/>
  </r>
  <r>
    <x v="4"/>
    <x v="11"/>
    <n v="1740000"/>
    <n v="1090000"/>
    <x v="20"/>
    <x v="29"/>
    <x v="29"/>
    <n v="650000"/>
    <n v="355000"/>
    <n v="295000"/>
    <x v="54"/>
    <x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77259-7A4B-415C-ACFF-F86735EC22E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2" rowHeaderCaption="Month">
  <location ref="E3:G15" firstHeaderRow="0" firstDataRow="1" firstDataCol="1"/>
  <pivotFields count="12">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axis="axisRow"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Total Revenue" fld="2" baseField="0" baseItem="0" numFmtId="3"/>
    <dataField name="Total Net Profit" fld="9" baseField="0" baseItem="0" numFmtId="3"/>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0B091-B04E-4A43-839E-4E7BDE0D484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3" rowHeaderCaption="Month">
  <location ref="B3:C15" firstHeaderRow="1" firstDataRow="1" firstDataCol="1"/>
  <pivotFields count="12">
    <pivotField compact="0" outline="0" showAll="0" defaultSubtotal="0">
      <items count="5">
        <item x="0"/>
        <item x="1"/>
        <item x="2"/>
        <item x="3"/>
        <item x="4"/>
      </items>
    </pivotField>
    <pivotField axis="axisRow" compact="0" outline="0" showAll="0" defaultSubtotal="0">
      <items count="12">
        <item x="0"/>
        <item x="1"/>
        <item x="2"/>
        <item x="3"/>
        <item x="4"/>
        <item x="5"/>
        <item x="6"/>
        <item x="7"/>
        <item x="8"/>
        <item x="9"/>
        <item x="10"/>
        <item x="11"/>
      </items>
    </pivotField>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compact="0" numFmtId="164" outline="0" showAll="0" defaultSubtotal="0"/>
    <pivotField dataField="1" compact="0" outline="0" showAll="0" defaultSubtotal="0">
      <items count="55">
        <item x="52"/>
        <item x="12"/>
        <item x="24"/>
        <item x="34"/>
        <item x="46"/>
        <item x="1"/>
        <item x="3"/>
        <item x="25"/>
        <item x="35"/>
        <item x="13"/>
        <item x="7"/>
        <item x="19"/>
        <item x="30"/>
        <item x="47"/>
        <item x="41"/>
        <item x="39"/>
        <item x="15"/>
        <item x="6"/>
        <item x="37"/>
        <item x="5"/>
        <item x="28"/>
        <item x="27"/>
        <item x="50"/>
        <item x="18"/>
        <item x="40"/>
        <item x="49"/>
        <item x="17"/>
        <item x="38"/>
        <item x="29"/>
        <item x="43"/>
        <item x="31"/>
        <item x="16"/>
        <item x="42"/>
        <item x="32"/>
        <item x="44"/>
        <item x="20"/>
        <item x="48"/>
        <item x="22"/>
        <item x="4"/>
        <item x="9"/>
        <item x="21"/>
        <item x="8"/>
        <item x="10"/>
        <item x="36"/>
        <item x="26"/>
        <item x="54"/>
        <item x="14"/>
        <item x="2"/>
        <item x="51"/>
        <item x="45"/>
        <item x="33"/>
        <item x="23"/>
        <item x="11"/>
        <item x="53"/>
        <item x="0"/>
      </items>
    </pivotField>
  </pivotFields>
  <rowFields count="1">
    <field x="1"/>
  </rowFields>
  <rowItems count="12">
    <i>
      <x/>
    </i>
    <i>
      <x v="1"/>
    </i>
    <i>
      <x v="2"/>
    </i>
    <i>
      <x v="3"/>
    </i>
    <i>
      <x v="4"/>
    </i>
    <i>
      <x v="5"/>
    </i>
    <i>
      <x v="6"/>
    </i>
    <i>
      <x v="7"/>
    </i>
    <i>
      <x v="8"/>
    </i>
    <i>
      <x v="9"/>
    </i>
    <i>
      <x v="10"/>
    </i>
    <i>
      <x v="11"/>
    </i>
  </rowItems>
  <colItems count="1">
    <i/>
  </colItems>
  <dataFields count="1">
    <dataField name="Average of Monthly Growth Rate %" fld="11" subtotal="average" baseField="1" baseItem="4" numFmtId="10"/>
  </dataField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DBDA7F-5FF7-4426-AF44-E4504B6E0AD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Year">
  <location ref="I3:L8" firstHeaderRow="0" firstDataRow="1" firstDataCol="1"/>
  <pivotFields count="12">
    <pivotField axis="axisRow" showAll="0" defaultSubtotal="0">
      <items count="5">
        <item x="0"/>
        <item x="1"/>
        <item x="2"/>
        <item x="3"/>
        <item x="4"/>
      </items>
      <extLst>
        <ext xmlns:x14="http://schemas.microsoft.com/office/spreadsheetml/2009/9/main" uri="{2946ED86-A175-432a-8AC1-64E0C546D7DE}">
          <x14:pivotField fillDownLabels="1"/>
        </ext>
      </extLst>
    </pivotField>
    <pivotField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numFmtId="3" showAll="0" defaultSubtotal="0">
      <extLst>
        <ext xmlns:x14="http://schemas.microsoft.com/office/spreadsheetml/2009/9/main" uri="{2946ED86-A175-432a-8AC1-64E0C546D7DE}">
          <x14:pivotField fillDownLabels="1"/>
        </ext>
      </extLst>
    </pivotField>
    <pivotField numFmtId="3" showAll="0" defaultSubtotal="0">
      <extLst>
        <ext xmlns:x14="http://schemas.microsoft.com/office/spreadsheetml/2009/9/main" uri="{2946ED86-A175-432a-8AC1-64E0C546D7DE}">
          <x14:pivotField fillDownLabels="1"/>
        </ext>
      </extLst>
    </pivotField>
    <pivotField dataField="1" numFmtId="3" showAll="0" defaultSubtotal="0">
      <items count="21">
        <item x="1"/>
        <item x="0"/>
        <item x="3"/>
        <item x="2"/>
        <item x="4"/>
        <item x="5"/>
        <item x="6"/>
        <item x="7"/>
        <item x="11"/>
        <item x="8"/>
        <item x="12"/>
        <item x="9"/>
        <item x="13"/>
        <item x="16"/>
        <item x="14"/>
        <item x="10"/>
        <item x="18"/>
        <item x="15"/>
        <item x="19"/>
        <item x="17"/>
        <item x="20"/>
      </items>
      <extLst>
        <ext xmlns:x14="http://schemas.microsoft.com/office/spreadsheetml/2009/9/main" uri="{2946ED86-A175-432a-8AC1-64E0C546D7DE}">
          <x14:pivotField fillDownLabels="1"/>
        </ext>
      </extLst>
    </pivotField>
    <pivotField dataField="1" numFmtId="3" showAll="0" defaultSubtotal="0">
      <items count="30">
        <item x="1"/>
        <item x="0"/>
        <item x="3"/>
        <item x="2"/>
        <item x="4"/>
        <item x="12"/>
        <item x="5"/>
        <item x="7"/>
        <item x="6"/>
        <item x="8"/>
        <item x="13"/>
        <item x="20"/>
        <item x="9"/>
        <item x="15"/>
        <item x="14"/>
        <item x="10"/>
        <item x="16"/>
        <item x="22"/>
        <item x="21"/>
        <item x="25"/>
        <item x="17"/>
        <item x="26"/>
        <item x="11"/>
        <item x="28"/>
        <item x="18"/>
        <item x="23"/>
        <item x="19"/>
        <item x="24"/>
        <item x="27"/>
        <item x="29"/>
      </items>
      <extLst>
        <ext xmlns:x14="http://schemas.microsoft.com/office/spreadsheetml/2009/9/main" uri="{2946ED86-A175-432a-8AC1-64E0C546D7DE}">
          <x14:pivotField fillDownLabels="1"/>
        </ext>
      </extLst>
    </pivotField>
    <pivotField dataField="1" numFmtId="3" showAll="0" defaultSubtotal="0">
      <items count="30">
        <item x="1"/>
        <item x="3"/>
        <item x="0"/>
        <item x="2"/>
        <item x="4"/>
        <item x="5"/>
        <item x="7"/>
        <item x="6"/>
        <item x="8"/>
        <item x="9"/>
        <item x="10"/>
        <item x="13"/>
        <item x="12"/>
        <item x="14"/>
        <item x="11"/>
        <item x="18"/>
        <item x="15"/>
        <item x="27"/>
        <item x="16"/>
        <item x="22"/>
        <item x="21"/>
        <item x="19"/>
        <item x="28"/>
        <item x="23"/>
        <item x="17"/>
        <item x="24"/>
        <item x="25"/>
        <item x="20"/>
        <item x="26"/>
        <item x="29"/>
      </items>
      <extLst>
        <ext xmlns:x14="http://schemas.microsoft.com/office/spreadsheetml/2009/9/main" uri="{2946ED86-A175-432a-8AC1-64E0C546D7DE}">
          <x14:pivotField fillDownLabels="1"/>
        </ext>
      </extLst>
    </pivotField>
    <pivotField numFmtId="3" showAll="0" defaultSubtotal="0">
      <extLst>
        <ext xmlns:x14="http://schemas.microsoft.com/office/spreadsheetml/2009/9/main" uri="{2946ED86-A175-432a-8AC1-64E0C546D7DE}">
          <x14:pivotField fillDownLabels="1"/>
        </ext>
      </extLst>
    </pivotField>
    <pivotField numFmtId="3" showAll="0" defaultSubtotal="0">
      <extLst>
        <ext xmlns:x14="http://schemas.microsoft.com/office/spreadsheetml/2009/9/main" uri="{2946ED86-A175-432a-8AC1-64E0C546D7DE}">
          <x14:pivotField fillDownLabels="1"/>
        </ext>
      </extLst>
    </pivotField>
    <pivotField numFmtId="3" showAll="0" defaultSubtotal="0">
      <extLst>
        <ext xmlns:x14="http://schemas.microsoft.com/office/spreadsheetml/2009/9/main" uri="{2946ED86-A175-432a-8AC1-64E0C546D7DE}">
          <x14:pivotField fillDownLabels="1"/>
        </ext>
      </extLst>
    </pivotField>
    <pivotField numFmtId="164"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s>
  <rowFields count="1">
    <field x="0"/>
  </rowFields>
  <rowItems count="5">
    <i>
      <x/>
    </i>
    <i>
      <x v="1"/>
    </i>
    <i>
      <x v="2"/>
    </i>
    <i>
      <x v="3"/>
    </i>
    <i>
      <x v="4"/>
    </i>
  </rowItems>
  <colFields count="1">
    <field x="-2"/>
  </colFields>
  <colItems count="3">
    <i>
      <x/>
    </i>
    <i i="1">
      <x v="1"/>
    </i>
    <i i="2">
      <x v="2"/>
    </i>
  </colItems>
  <dataFields count="3">
    <dataField name="Sum of Other Expenses" fld="6" baseField="0" baseItem="0" numFmtId="3"/>
    <dataField name="Sum of Marketing Expenses" fld="5" baseField="0" baseItem="0" numFmtId="3"/>
    <dataField name="Sum of Operating Expenses" fld="4" baseField="0" baseItem="0" numFmtId="3"/>
  </dataFields>
  <chartFormats count="6">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 chart="17" format="14" series="1">
      <pivotArea type="data" outline="0" fieldPosition="0">
        <references count="1">
          <reference field="4294967294"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CC848-D707-4364-9F86-662DBE165AC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rowHeaderCaption="Month">
  <location ref="B17:C29" firstHeaderRow="1" firstDataRow="1" firstDataCol="1"/>
  <pivotFields count="12">
    <pivotField showAll="0" defaultSubtotal="0">
      <items count="5">
        <item x="0"/>
        <item x="1"/>
        <item x="2"/>
        <item x="3"/>
        <item x="4"/>
      </items>
    </pivotField>
    <pivotField axis="axisRow" showAll="0" defaultSubtotal="0">
      <items count="12">
        <item x="0"/>
        <item x="1"/>
        <item x="2"/>
        <item x="3"/>
        <item x="4"/>
        <item x="5"/>
        <item x="6"/>
        <item x="7"/>
        <item x="8"/>
        <item x="9"/>
        <item x="10"/>
        <item x="11"/>
      </items>
    </pivotField>
    <pivotField numFmtId="3" showAll="0" defaultSubtotal="0"/>
    <pivotField numFmtId="3" showAll="0" defaultSubtotal="0"/>
    <pivotField numFmtId="3" showAll="0" defaultSubtotal="0"/>
    <pivotField numFmtId="3" showAll="0" defaultSubtotal="0"/>
    <pivotField numFmtId="3" showAll="0" defaultSubtotal="0"/>
    <pivotField numFmtId="3" showAll="0" defaultSubtotal="0"/>
    <pivotField numFmtId="3" showAll="0" defaultSubtotal="0"/>
    <pivotField numFmtId="3" showAll="0" defaultSubtotal="0"/>
    <pivotField dataField="1" numFmtId="164" showAll="0" defaultSubtotal="0">
      <items count="55">
        <item h="1" x="1"/>
        <item h="1" x="3"/>
        <item h="1" x="0"/>
        <item h="1" x="7"/>
        <item h="1" x="2"/>
        <item h="1" x="6"/>
        <item h="1" x="4"/>
        <item h="1" x="5"/>
        <item h="1" x="12"/>
        <item h="1" x="13"/>
        <item h="1" x="15"/>
        <item h="1" x="9"/>
        <item h="1" x="8"/>
        <item h="1" x="14"/>
        <item h="1" x="16"/>
        <item h="1" x="19"/>
        <item h="1" x="25"/>
        <item h="1" x="18"/>
        <item h="1" x="17"/>
        <item h="1" x="10"/>
        <item h="1" x="54"/>
        <item h="1" x="20"/>
        <item h="1" x="24"/>
        <item h="1" x="21"/>
        <item h="1" x="11"/>
        <item h="1" x="26"/>
        <item h="1" x="22"/>
        <item h="1" x="28"/>
        <item h="1" x="37"/>
        <item h="1" x="27"/>
        <item h="1" x="29"/>
        <item h="1" x="31"/>
        <item h="1" x="33"/>
        <item h="1" x="36"/>
        <item h="1" x="30"/>
        <item h="1" x="32"/>
        <item h="1" x="41"/>
        <item h="1" x="34"/>
        <item h="1" x="38"/>
        <item h="1" x="43"/>
        <item h="1" x="45"/>
        <item h="1" x="42"/>
        <item h="1" x="23"/>
        <item h="1" x="44"/>
        <item h="1" x="40"/>
        <item h="1" x="39"/>
        <item h="1" x="49"/>
        <item h="1" x="48"/>
        <item h="1" x="46"/>
        <item h="1" x="50"/>
        <item h="1" x="51"/>
        <item h="1" x="52"/>
        <item h="1" x="35"/>
        <item h="1" x="47"/>
        <item x="53"/>
      </items>
    </pivotField>
    <pivotField showAll="0" defaultSubtotal="0"/>
  </pivotFields>
  <rowFields count="1">
    <field x="1"/>
  </rowFields>
  <rowItems count="12">
    <i>
      <x/>
    </i>
    <i>
      <x v="1"/>
    </i>
    <i>
      <x v="2"/>
    </i>
    <i>
      <x v="3"/>
    </i>
    <i>
      <x v="4"/>
    </i>
    <i>
      <x v="5"/>
    </i>
    <i>
      <x v="6"/>
    </i>
    <i>
      <x v="7"/>
    </i>
    <i>
      <x v="8"/>
    </i>
    <i>
      <x v="9"/>
    </i>
    <i>
      <x v="10"/>
    </i>
    <i>
      <x v="11"/>
    </i>
  </rowItems>
  <colItems count="1">
    <i/>
  </colItems>
  <dataFields count="1">
    <dataField name="Total Net Profit Margin %" fld="10" baseField="0" baseItem="0" numFmtId="164"/>
  </dataFields>
  <chartFormats count="2">
    <chartFormat chart="7"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FFF1BCC-D6FD-41A3-AD4C-B35F10F9C553}" sourceName="Year">
  <pivotTables>
    <pivotTable tabId="11" name="PivotTable2"/>
    <pivotTable tabId="11" name="PivotTable1"/>
    <pivotTable tabId="11" name="PivotTable3"/>
    <pivotTable tabId="11" name="PivotTable4"/>
  </pivotTables>
  <data>
    <tabular pivotCacheId="9218350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10048D4-9360-435B-9920-98EBA8532118}" sourceName="Month">
  <pivotTables>
    <pivotTable tabId="11" name="PivotTable2"/>
    <pivotTable tabId="11" name="PivotTable1"/>
    <pivotTable tabId="11" name="PivotTable3"/>
    <pivotTable tabId="11" name="PivotTable4"/>
  </pivotTables>
  <data>
    <tabular pivotCacheId="9218350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B5C9D4C-D692-4841-A239-090CB334D0C4}" cache="Slicer_Year" caption="Year" style="SlicerStyleDark6" rowHeight="241300"/>
  <slicer name="Month" xr10:uid="{647B7988-A287-4F66-8BB3-81F251B42B75}" cache="Slicer_Month" caption="Month"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5BAD-DADE-4A75-9CA8-1A1E5D6E0644}">
  <dimension ref="B1:B41"/>
  <sheetViews>
    <sheetView showGridLines="0" showRowColHeaders="0" tabSelected="1" workbookViewId="0">
      <selection activeCell="B5" sqref="B5"/>
    </sheetView>
  </sheetViews>
  <sheetFormatPr defaultRowHeight="15.5" x14ac:dyDescent="0.35"/>
  <cols>
    <col min="1" max="16384" width="8.7265625" style="51"/>
  </cols>
  <sheetData>
    <row r="1" spans="2:2" x14ac:dyDescent="0.35">
      <c r="B1" s="32" t="s">
        <v>73</v>
      </c>
    </row>
    <row r="2" spans="2:2" x14ac:dyDescent="0.35">
      <c r="B2" s="51" t="s">
        <v>74</v>
      </c>
    </row>
    <row r="4" spans="2:2" x14ac:dyDescent="0.35">
      <c r="B4" s="52" t="s">
        <v>43</v>
      </c>
    </row>
    <row r="5" spans="2:2" x14ac:dyDescent="0.35">
      <c r="B5" s="53" t="s">
        <v>105</v>
      </c>
    </row>
    <row r="6" spans="2:2" x14ac:dyDescent="0.35">
      <c r="B6" s="53"/>
    </row>
    <row r="7" spans="2:2" x14ac:dyDescent="0.35">
      <c r="B7" s="52" t="s">
        <v>44</v>
      </c>
    </row>
    <row r="8" spans="2:2" x14ac:dyDescent="0.35">
      <c r="B8" s="53" t="s">
        <v>47</v>
      </c>
    </row>
    <row r="9" spans="2:2" x14ac:dyDescent="0.35">
      <c r="B9" s="54" t="s">
        <v>76</v>
      </c>
    </row>
    <row r="10" spans="2:2" x14ac:dyDescent="0.35">
      <c r="B10" s="54" t="s">
        <v>77</v>
      </c>
    </row>
    <row r="11" spans="2:2" x14ac:dyDescent="0.35">
      <c r="B11" s="54" t="s">
        <v>78</v>
      </c>
    </row>
    <row r="12" spans="2:2" x14ac:dyDescent="0.35">
      <c r="B12" s="54" t="s">
        <v>79</v>
      </c>
    </row>
    <row r="13" spans="2:2" x14ac:dyDescent="0.35">
      <c r="B13" s="54" t="s">
        <v>80</v>
      </c>
    </row>
    <row r="14" spans="2:2" x14ac:dyDescent="0.35">
      <c r="B14" s="54"/>
    </row>
    <row r="15" spans="2:2" x14ac:dyDescent="0.35">
      <c r="B15" s="55" t="s">
        <v>75</v>
      </c>
    </row>
    <row r="16" spans="2:2" x14ac:dyDescent="0.35">
      <c r="B16" s="53" t="s">
        <v>81</v>
      </c>
    </row>
    <row r="17" spans="2:2" x14ac:dyDescent="0.35">
      <c r="B17" s="53" t="s">
        <v>82</v>
      </c>
    </row>
    <row r="18" spans="2:2" x14ac:dyDescent="0.35">
      <c r="B18" s="53" t="s">
        <v>83</v>
      </c>
    </row>
    <row r="19" spans="2:2" x14ac:dyDescent="0.35">
      <c r="B19" s="53" t="s">
        <v>84</v>
      </c>
    </row>
    <row r="20" spans="2:2" x14ac:dyDescent="0.35">
      <c r="B20" s="53" t="s">
        <v>85</v>
      </c>
    </row>
    <row r="21" spans="2:2" x14ac:dyDescent="0.35">
      <c r="B21" s="53"/>
    </row>
    <row r="22" spans="2:2" x14ac:dyDescent="0.35">
      <c r="B22" s="52" t="s">
        <v>45</v>
      </c>
    </row>
    <row r="23" spans="2:2" x14ac:dyDescent="0.35">
      <c r="B23" s="56" t="s">
        <v>86</v>
      </c>
    </row>
    <row r="24" spans="2:2" x14ac:dyDescent="0.35">
      <c r="B24" s="56" t="s">
        <v>87</v>
      </c>
    </row>
    <row r="25" spans="2:2" x14ac:dyDescent="0.35">
      <c r="B25" s="56" t="s">
        <v>88</v>
      </c>
    </row>
    <row r="26" spans="2:2" x14ac:dyDescent="0.35">
      <c r="B26" s="56" t="s">
        <v>89</v>
      </c>
    </row>
    <row r="27" spans="2:2" x14ac:dyDescent="0.35">
      <c r="B27" s="56" t="s">
        <v>90</v>
      </c>
    </row>
    <row r="28" spans="2:2" x14ac:dyDescent="0.35">
      <c r="B28" s="56" t="s">
        <v>91</v>
      </c>
    </row>
    <row r="29" spans="2:2" x14ac:dyDescent="0.35">
      <c r="B29" s="56" t="s">
        <v>92</v>
      </c>
    </row>
    <row r="30" spans="2:2" x14ac:dyDescent="0.35">
      <c r="B30" s="53"/>
    </row>
    <row r="31" spans="2:2" x14ac:dyDescent="0.35">
      <c r="B31" s="52" t="s">
        <v>46</v>
      </c>
    </row>
    <row r="32" spans="2:2" x14ac:dyDescent="0.35">
      <c r="B32" s="54" t="s">
        <v>93</v>
      </c>
    </row>
    <row r="33" spans="2:2" x14ac:dyDescent="0.35">
      <c r="B33" s="54" t="s">
        <v>94</v>
      </c>
    </row>
    <row r="34" spans="2:2" x14ac:dyDescent="0.35">
      <c r="B34" s="54" t="s">
        <v>95</v>
      </c>
    </row>
    <row r="35" spans="2:2" x14ac:dyDescent="0.35">
      <c r="B35" s="54" t="s">
        <v>96</v>
      </c>
    </row>
    <row r="36" spans="2:2" x14ac:dyDescent="0.35">
      <c r="B36" s="53"/>
    </row>
    <row r="37" spans="2:2" x14ac:dyDescent="0.35">
      <c r="B37" s="53"/>
    </row>
    <row r="38" spans="2:2" x14ac:dyDescent="0.35">
      <c r="B38" s="53"/>
    </row>
    <row r="39" spans="2:2" x14ac:dyDescent="0.35">
      <c r="B39" s="53"/>
    </row>
    <row r="40" spans="2:2" x14ac:dyDescent="0.35">
      <c r="B40" s="53"/>
    </row>
    <row r="41" spans="2:2" x14ac:dyDescent="0.35">
      <c r="B41" s="5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4633-AA17-4F89-AEB8-BA69E1F60125}">
  <dimension ref="B1:Z23"/>
  <sheetViews>
    <sheetView showGridLines="0" showRowColHeaders="0" topLeftCell="A2" zoomScale="67" zoomScaleNormal="70" workbookViewId="0">
      <selection activeCell="H39" sqref="H39"/>
    </sheetView>
  </sheetViews>
  <sheetFormatPr defaultRowHeight="14.5" x14ac:dyDescent="0.35"/>
  <cols>
    <col min="1" max="1" width="3.90625" style="44" customWidth="1"/>
    <col min="2" max="2" width="33.36328125" style="44" bestFit="1" customWidth="1"/>
    <col min="3" max="3" width="5.36328125" style="44" customWidth="1"/>
    <col min="4" max="4" width="33.36328125" style="44" bestFit="1" customWidth="1"/>
    <col min="5" max="5" width="5.90625" style="44" customWidth="1"/>
    <col min="6" max="6" width="33.36328125" style="44" bestFit="1" customWidth="1"/>
    <col min="7" max="7" width="2.54296875" style="44" customWidth="1"/>
    <col min="8" max="8" width="44.36328125" style="44" bestFit="1" customWidth="1"/>
    <col min="9" max="9" width="3.54296875" style="44" customWidth="1"/>
    <col min="10" max="10" width="46.54296875" style="44" bestFit="1" customWidth="1"/>
    <col min="11" max="11" width="5.7265625" style="44" customWidth="1"/>
    <col min="12" max="12" width="48.90625" style="44" bestFit="1" customWidth="1"/>
    <col min="13" max="14" width="8.7265625" style="44"/>
    <col min="15" max="15" width="11.453125" style="44" bestFit="1" customWidth="1"/>
    <col min="16" max="17" width="8.7265625" style="44"/>
    <col min="18" max="18" width="2.6328125" style="44" customWidth="1"/>
    <col min="19" max="19" width="8.7265625" style="44"/>
    <col min="20" max="20" width="13.36328125" style="44" bestFit="1" customWidth="1"/>
    <col min="21" max="23" width="8.7265625" style="44"/>
    <col min="24" max="24" width="13.36328125" style="44" bestFit="1" customWidth="1"/>
    <col min="25" max="16384" width="8.7265625" style="44"/>
  </cols>
  <sheetData>
    <row r="1" spans="2:26" ht="5.5" customHeight="1" x14ac:dyDescent="0.35"/>
    <row r="2" spans="2:26" ht="44" customHeight="1" x14ac:dyDescent="0.8">
      <c r="B2" s="62" t="s">
        <v>58</v>
      </c>
      <c r="C2" s="62"/>
      <c r="D2" s="62"/>
      <c r="E2" s="62"/>
      <c r="F2" s="62"/>
      <c r="G2" s="62"/>
      <c r="H2" s="62"/>
      <c r="I2" s="62"/>
      <c r="J2" s="62"/>
      <c r="K2" s="62"/>
      <c r="L2" s="62"/>
      <c r="M2" s="45"/>
      <c r="N2" s="45"/>
      <c r="O2" s="45"/>
      <c r="P2" s="45"/>
      <c r="Q2" s="45"/>
      <c r="R2" s="45"/>
      <c r="S2" s="45"/>
      <c r="T2" s="45"/>
      <c r="U2" s="45"/>
      <c r="V2" s="45"/>
      <c r="W2" s="45"/>
      <c r="X2" s="45"/>
      <c r="Y2" s="45"/>
      <c r="Z2" s="45"/>
    </row>
    <row r="3" spans="2:26" ht="10.5" customHeight="1" x14ac:dyDescent="0.35"/>
    <row r="4" spans="2:26" ht="46.5" customHeight="1" x14ac:dyDescent="0.55000000000000004">
      <c r="B4" s="49" t="s">
        <v>59</v>
      </c>
      <c r="C4" s="50"/>
      <c r="D4" s="49" t="s">
        <v>60</v>
      </c>
      <c r="E4" s="50"/>
      <c r="F4" s="49" t="s">
        <v>61</v>
      </c>
      <c r="G4" s="50"/>
      <c r="H4" s="49" t="s">
        <v>62</v>
      </c>
      <c r="I4" s="50"/>
      <c r="J4" s="49" t="s">
        <v>63</v>
      </c>
      <c r="K4" s="50"/>
      <c r="L4" s="49" t="s">
        <v>64</v>
      </c>
    </row>
    <row r="5" spans="2:26" ht="4" customHeight="1" x14ac:dyDescent="0.35"/>
    <row r="6" spans="2:26" ht="1" customHeight="1" x14ac:dyDescent="0.35"/>
    <row r="7" spans="2:26" ht="36" x14ac:dyDescent="0.8">
      <c r="B7" s="46">
        <f>SUM('PIVOT TABLES'!F4:F15)</f>
        <v>73130000</v>
      </c>
      <c r="C7" s="47"/>
      <c r="D7" s="46">
        <f>SUM('PIVOT TABLES'!G4:G15)</f>
        <v>13234500</v>
      </c>
      <c r="E7" s="47"/>
      <c r="F7" s="46">
        <f>SUM('PIVOT TABLES'!F18:F77)</f>
        <v>15980500</v>
      </c>
      <c r="G7" s="47"/>
      <c r="H7" s="48">
        <v>2.0199999999999999E-2</v>
      </c>
      <c r="I7" s="47"/>
      <c r="J7" s="48">
        <f>AVERAGE('CLEANED DATA'!K3:K66)</f>
        <v>0.17767602463264656</v>
      </c>
      <c r="K7" s="47"/>
      <c r="L7" s="48">
        <v>0.24779999999999999</v>
      </c>
    </row>
    <row r="22" ht="4" customHeight="1" x14ac:dyDescent="0.35"/>
    <row r="23" ht="10.5" customHeight="1" x14ac:dyDescent="0.35"/>
  </sheetData>
  <mergeCells count="1">
    <mergeCell ref="B2:L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004F-8CB9-4093-BB74-3ADF4DC0BAF7}">
  <dimension ref="B1:Q49"/>
  <sheetViews>
    <sheetView showGridLines="0" showRowColHeaders="0" workbookViewId="0">
      <selection activeCell="P7" sqref="P7"/>
    </sheetView>
  </sheetViews>
  <sheetFormatPr defaultRowHeight="14.5" x14ac:dyDescent="0.35"/>
  <cols>
    <col min="2" max="2" width="3.7265625" customWidth="1"/>
  </cols>
  <sheetData>
    <row r="1" spans="2:17" ht="31" x14ac:dyDescent="0.7">
      <c r="B1" s="63" t="s">
        <v>71</v>
      </c>
      <c r="C1" s="63"/>
      <c r="D1" s="63"/>
      <c r="E1" s="63"/>
      <c r="F1" s="63"/>
      <c r="G1" s="63"/>
      <c r="H1" s="63"/>
      <c r="I1" s="63"/>
      <c r="J1" s="63"/>
      <c r="K1" s="63"/>
      <c r="L1" s="63"/>
      <c r="M1" s="63"/>
      <c r="N1" s="63"/>
      <c r="O1" s="63"/>
      <c r="P1" s="63"/>
      <c r="Q1" s="63"/>
    </row>
    <row r="2" spans="2:17" ht="15" customHeight="1" x14ac:dyDescent="0.7">
      <c r="B2" s="57"/>
      <c r="C2" s="57"/>
      <c r="D2" s="57"/>
      <c r="E2" s="57"/>
      <c r="F2" s="57"/>
      <c r="G2" s="57"/>
      <c r="H2" s="57"/>
      <c r="I2" s="57"/>
      <c r="J2" s="57"/>
      <c r="K2" s="57"/>
      <c r="L2" s="57"/>
      <c r="M2" s="57"/>
      <c r="N2" s="57"/>
      <c r="O2" s="57"/>
      <c r="P2" s="57"/>
      <c r="Q2" s="57"/>
    </row>
    <row r="3" spans="2:17" ht="15.5" x14ac:dyDescent="0.35">
      <c r="C3" s="51" t="s">
        <v>72</v>
      </c>
      <c r="D3" s="51"/>
      <c r="E3" s="51"/>
      <c r="F3" s="51"/>
      <c r="G3" s="51"/>
      <c r="H3" s="51"/>
      <c r="I3" s="51"/>
      <c r="J3" s="51"/>
      <c r="K3" s="51"/>
      <c r="L3" s="51"/>
    </row>
    <row r="4" spans="2:17" ht="15.5" x14ac:dyDescent="0.35">
      <c r="C4" s="51"/>
      <c r="D4" s="51"/>
      <c r="E4" s="51"/>
      <c r="F4" s="51"/>
      <c r="G4" s="51"/>
      <c r="H4" s="51"/>
      <c r="I4" s="51"/>
      <c r="J4" s="51"/>
      <c r="K4" s="51"/>
      <c r="L4" s="51"/>
    </row>
    <row r="5" spans="2:17" ht="15.5" x14ac:dyDescent="0.35">
      <c r="C5" s="52" t="s">
        <v>55</v>
      </c>
      <c r="D5" s="51"/>
      <c r="E5" s="51"/>
      <c r="F5" s="51"/>
      <c r="G5" s="51"/>
      <c r="H5" s="51"/>
      <c r="I5" s="51"/>
      <c r="J5" s="51"/>
      <c r="K5" s="51"/>
      <c r="L5" s="51"/>
    </row>
    <row r="6" spans="2:17" ht="15.5" x14ac:dyDescent="0.35">
      <c r="C6" s="53" t="s">
        <v>53</v>
      </c>
      <c r="D6" s="51"/>
      <c r="E6" s="51"/>
      <c r="F6" s="51"/>
      <c r="G6" s="51"/>
      <c r="H6" s="51"/>
      <c r="I6" s="51"/>
      <c r="J6" s="51"/>
      <c r="K6" s="51"/>
      <c r="L6" s="51"/>
    </row>
    <row r="7" spans="2:17" ht="15.5" x14ac:dyDescent="0.35">
      <c r="C7" s="53"/>
      <c r="D7" s="51"/>
      <c r="E7" s="51"/>
      <c r="F7" s="51"/>
      <c r="G7" s="51"/>
      <c r="H7" s="51"/>
      <c r="I7" s="51"/>
      <c r="J7" s="51"/>
      <c r="K7" s="51"/>
      <c r="L7" s="51"/>
    </row>
    <row r="8" spans="2:17" ht="15.5" x14ac:dyDescent="0.35">
      <c r="C8" s="52" t="s">
        <v>100</v>
      </c>
      <c r="D8" s="51"/>
      <c r="E8" s="51"/>
      <c r="F8" s="51"/>
      <c r="G8" s="51"/>
      <c r="H8" s="51"/>
      <c r="I8" s="51"/>
      <c r="J8" s="51"/>
      <c r="K8" s="51"/>
      <c r="L8" s="51"/>
    </row>
    <row r="9" spans="2:17" ht="15.5" x14ac:dyDescent="0.35">
      <c r="B9" s="33" t="s">
        <v>68</v>
      </c>
      <c r="C9" s="53" t="s">
        <v>48</v>
      </c>
      <c r="D9" s="51"/>
      <c r="E9" s="51"/>
      <c r="F9" s="51"/>
      <c r="G9" s="51"/>
      <c r="H9" s="51"/>
      <c r="I9" s="51"/>
      <c r="J9" s="51"/>
      <c r="K9" s="51"/>
      <c r="L9" s="51"/>
    </row>
    <row r="10" spans="2:17" ht="15.5" x14ac:dyDescent="0.35">
      <c r="B10" s="33" t="s">
        <v>104</v>
      </c>
      <c r="C10" s="53" t="s">
        <v>49</v>
      </c>
      <c r="D10" s="51"/>
      <c r="E10" s="51"/>
      <c r="F10" s="51"/>
      <c r="G10" s="51"/>
      <c r="H10" s="51"/>
      <c r="I10" s="51"/>
      <c r="J10" s="51"/>
      <c r="K10" s="51"/>
      <c r="L10" s="51"/>
    </row>
    <row r="11" spans="2:17" ht="15.5" x14ac:dyDescent="0.35">
      <c r="B11" s="33" t="s">
        <v>70</v>
      </c>
      <c r="C11" s="53" t="s">
        <v>97</v>
      </c>
      <c r="D11" s="51"/>
      <c r="E11" s="51"/>
      <c r="F11" s="51"/>
      <c r="G11" s="51"/>
      <c r="H11" s="51"/>
      <c r="I11" s="51"/>
      <c r="J11" s="51"/>
      <c r="K11" s="51"/>
      <c r="L11" s="51"/>
    </row>
    <row r="12" spans="2:17" ht="15.5" x14ac:dyDescent="0.35">
      <c r="C12" s="53"/>
      <c r="D12" s="51"/>
      <c r="E12" s="51"/>
      <c r="F12" s="51"/>
      <c r="G12" s="51"/>
      <c r="H12" s="51"/>
      <c r="I12" s="51"/>
      <c r="J12" s="51"/>
      <c r="K12" s="51"/>
      <c r="L12" s="51"/>
    </row>
    <row r="13" spans="2:17" ht="15.5" x14ac:dyDescent="0.35">
      <c r="C13" s="52" t="s">
        <v>99</v>
      </c>
      <c r="D13" s="51"/>
      <c r="E13" s="51"/>
      <c r="F13" s="51"/>
      <c r="G13" s="51"/>
      <c r="H13" s="51"/>
      <c r="I13" s="51"/>
      <c r="J13" s="51"/>
      <c r="K13" s="51"/>
      <c r="L13" s="51"/>
    </row>
    <row r="14" spans="2:17" ht="15.5" x14ac:dyDescent="0.35">
      <c r="B14" s="33" t="s">
        <v>68</v>
      </c>
      <c r="C14" s="53" t="s">
        <v>56</v>
      </c>
      <c r="D14" s="51"/>
      <c r="E14" s="51"/>
      <c r="F14" s="51"/>
      <c r="G14" s="51"/>
      <c r="H14" s="51"/>
      <c r="I14" s="51"/>
      <c r="J14" s="51"/>
      <c r="K14" s="51"/>
      <c r="L14" s="51"/>
    </row>
    <row r="15" spans="2:17" ht="15.5" x14ac:dyDescent="0.35">
      <c r="B15" s="33" t="s">
        <v>104</v>
      </c>
      <c r="C15" s="53" t="s">
        <v>50</v>
      </c>
      <c r="D15" s="51"/>
      <c r="E15" s="51"/>
      <c r="F15" s="51"/>
      <c r="G15" s="51"/>
      <c r="H15" s="51"/>
      <c r="I15" s="51"/>
      <c r="J15" s="51"/>
      <c r="K15" s="51"/>
      <c r="L15" s="51"/>
    </row>
    <row r="16" spans="2:17" ht="15.5" x14ac:dyDescent="0.35">
      <c r="B16" s="33" t="s">
        <v>70</v>
      </c>
      <c r="C16" s="51" t="s">
        <v>67</v>
      </c>
      <c r="D16" s="51"/>
      <c r="E16" s="51"/>
      <c r="F16" s="51"/>
      <c r="G16" s="51"/>
      <c r="H16" s="51"/>
      <c r="I16" s="51"/>
      <c r="J16" s="51"/>
      <c r="K16" s="51"/>
      <c r="L16" s="51"/>
    </row>
    <row r="17" spans="2:12" ht="15.5" x14ac:dyDescent="0.35">
      <c r="C17" s="51"/>
      <c r="D17" s="51"/>
      <c r="E17" s="51"/>
      <c r="F17" s="51"/>
      <c r="G17" s="51"/>
      <c r="H17" s="51"/>
      <c r="I17" s="51"/>
      <c r="J17" s="51"/>
      <c r="K17" s="51"/>
      <c r="L17" s="51"/>
    </row>
    <row r="18" spans="2:12" ht="15.5" x14ac:dyDescent="0.35">
      <c r="C18" s="52" t="s">
        <v>54</v>
      </c>
      <c r="D18" s="51"/>
      <c r="E18" s="51"/>
      <c r="F18" s="51"/>
      <c r="G18" s="51"/>
      <c r="H18" s="51"/>
      <c r="I18" s="51"/>
      <c r="J18" s="51"/>
      <c r="K18" s="51"/>
      <c r="L18" s="51"/>
    </row>
    <row r="19" spans="2:12" ht="15.5" x14ac:dyDescent="0.35">
      <c r="B19" t="s">
        <v>68</v>
      </c>
      <c r="C19" s="53" t="s">
        <v>98</v>
      </c>
      <c r="D19" s="51"/>
      <c r="E19" s="51"/>
      <c r="F19" s="51"/>
      <c r="G19" s="51"/>
      <c r="H19" s="51"/>
      <c r="I19" s="51"/>
      <c r="J19" s="51"/>
      <c r="K19" s="51"/>
      <c r="L19" s="51"/>
    </row>
    <row r="20" spans="2:12" ht="15.5" x14ac:dyDescent="0.35">
      <c r="B20" t="s">
        <v>104</v>
      </c>
      <c r="C20" s="53" t="s">
        <v>51</v>
      </c>
      <c r="D20" s="51"/>
      <c r="E20" s="51"/>
      <c r="F20" s="51"/>
      <c r="G20" s="51"/>
      <c r="H20" s="51"/>
      <c r="I20" s="51"/>
      <c r="J20" s="51"/>
      <c r="K20" s="51"/>
      <c r="L20" s="51"/>
    </row>
    <row r="21" spans="2:12" ht="15.5" x14ac:dyDescent="0.35">
      <c r="B21" t="s">
        <v>70</v>
      </c>
      <c r="C21" s="53" t="s">
        <v>52</v>
      </c>
      <c r="D21" s="51"/>
      <c r="E21" s="51"/>
      <c r="F21" s="51"/>
      <c r="G21" s="51"/>
      <c r="H21" s="51"/>
      <c r="I21" s="51"/>
      <c r="J21" s="51"/>
      <c r="K21" s="51"/>
      <c r="L21" s="51"/>
    </row>
    <row r="22" spans="2:12" ht="15.5" x14ac:dyDescent="0.35">
      <c r="C22" s="51"/>
      <c r="D22" s="51"/>
      <c r="E22" s="51"/>
      <c r="F22" s="51"/>
      <c r="G22" s="51"/>
      <c r="H22" s="51"/>
      <c r="I22" s="51"/>
      <c r="J22" s="51"/>
      <c r="K22" s="51"/>
      <c r="L22" s="51"/>
    </row>
    <row r="23" spans="2:12" ht="15.5" x14ac:dyDescent="0.35">
      <c r="C23" s="52" t="s">
        <v>57</v>
      </c>
      <c r="D23" s="51"/>
      <c r="E23" s="51"/>
      <c r="F23" s="51"/>
      <c r="G23" s="51"/>
      <c r="H23" s="51"/>
      <c r="I23" s="51"/>
      <c r="J23" s="51"/>
      <c r="K23" s="51"/>
      <c r="L23" s="51"/>
    </row>
    <row r="24" spans="2:12" ht="15.5" x14ac:dyDescent="0.35">
      <c r="B24" s="33" t="s">
        <v>68</v>
      </c>
      <c r="C24" s="53" t="s">
        <v>102</v>
      </c>
      <c r="D24" s="51"/>
      <c r="E24" s="51"/>
      <c r="F24" s="51"/>
      <c r="G24" s="51"/>
      <c r="H24" s="51"/>
      <c r="I24" s="51"/>
      <c r="J24" s="51"/>
      <c r="K24" s="51"/>
      <c r="L24" s="51"/>
    </row>
    <row r="25" spans="2:12" ht="15.5" x14ac:dyDescent="0.35">
      <c r="B25" s="33" t="s">
        <v>69</v>
      </c>
      <c r="C25" s="51" t="s">
        <v>103</v>
      </c>
      <c r="D25" s="51"/>
      <c r="E25" s="51"/>
      <c r="F25" s="51"/>
      <c r="G25" s="51"/>
      <c r="H25" s="51"/>
      <c r="I25" s="51"/>
      <c r="J25" s="51"/>
      <c r="K25" s="51"/>
      <c r="L25" s="51"/>
    </row>
    <row r="26" spans="2:12" ht="15.5" x14ac:dyDescent="0.35">
      <c r="B26" s="33" t="s">
        <v>70</v>
      </c>
      <c r="C26" s="53" t="s">
        <v>101</v>
      </c>
      <c r="D26" s="51"/>
      <c r="E26" s="51"/>
      <c r="F26" s="51"/>
      <c r="G26" s="51"/>
      <c r="H26" s="51"/>
      <c r="I26" s="51"/>
      <c r="J26" s="51"/>
      <c r="K26" s="51"/>
      <c r="L26" s="51"/>
    </row>
    <row r="27" spans="2:12" ht="15.5" x14ac:dyDescent="0.35">
      <c r="D27" s="51"/>
      <c r="E27" s="51"/>
      <c r="F27" s="51"/>
      <c r="G27" s="51"/>
      <c r="H27" s="51"/>
      <c r="I27" s="51"/>
      <c r="J27" s="51"/>
      <c r="K27" s="51"/>
      <c r="L27" s="51"/>
    </row>
    <row r="28" spans="2:12" ht="15.5" x14ac:dyDescent="0.35">
      <c r="D28" s="51"/>
      <c r="E28" s="51"/>
      <c r="F28" s="51"/>
      <c r="G28" s="51"/>
      <c r="H28" s="51"/>
      <c r="I28" s="51"/>
      <c r="J28" s="51"/>
      <c r="K28" s="51"/>
      <c r="L28" s="51"/>
    </row>
    <row r="29" spans="2:12" ht="15.5" x14ac:dyDescent="0.35">
      <c r="D29" s="51"/>
      <c r="E29" s="51"/>
      <c r="F29" s="51"/>
      <c r="G29" s="51"/>
      <c r="H29" s="51"/>
      <c r="I29" s="51"/>
      <c r="J29" s="51"/>
      <c r="K29" s="51"/>
      <c r="L29" s="51"/>
    </row>
    <row r="31" spans="2:12" x14ac:dyDescent="0.35">
      <c r="C31" s="1"/>
    </row>
    <row r="32" spans="2:12" x14ac:dyDescent="0.35">
      <c r="C32" s="1"/>
    </row>
    <row r="34" spans="3:3" x14ac:dyDescent="0.35">
      <c r="C34" s="1"/>
    </row>
    <row r="36" spans="3:3" x14ac:dyDescent="0.35">
      <c r="C36" s="1"/>
    </row>
    <row r="37" spans="3:3" x14ac:dyDescent="0.35">
      <c r="C37" s="1"/>
    </row>
    <row r="38" spans="3:3" x14ac:dyDescent="0.35">
      <c r="C38" s="1"/>
    </row>
    <row r="39" spans="3:3" x14ac:dyDescent="0.35">
      <c r="C39" s="1"/>
    </row>
    <row r="40" spans="3:3" x14ac:dyDescent="0.35">
      <c r="C40" s="1"/>
    </row>
    <row r="41" spans="3:3" x14ac:dyDescent="0.35">
      <c r="C41" s="1"/>
    </row>
    <row r="42" spans="3:3" x14ac:dyDescent="0.35">
      <c r="C42" s="1"/>
    </row>
    <row r="43" spans="3:3" x14ac:dyDescent="0.35">
      <c r="C43" s="1"/>
    </row>
    <row r="44" spans="3:3" x14ac:dyDescent="0.35">
      <c r="C44" s="1"/>
    </row>
    <row r="45" spans="3:3" x14ac:dyDescent="0.35">
      <c r="C45" s="1"/>
    </row>
    <row r="46" spans="3:3" x14ac:dyDescent="0.35">
      <c r="C46" s="1"/>
    </row>
    <row r="47" spans="3:3" x14ac:dyDescent="0.35">
      <c r="C47" s="1"/>
    </row>
    <row r="48" spans="3:3" x14ac:dyDescent="0.35">
      <c r="C48" s="1"/>
    </row>
    <row r="49" spans="3:3" x14ac:dyDescent="0.35">
      <c r="C49" s="1"/>
    </row>
  </sheetData>
  <mergeCells count="1">
    <mergeCell ref="B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D979-8370-4C1B-A83C-B22BA4052F88}">
  <dimension ref="A1:L68"/>
  <sheetViews>
    <sheetView showGridLines="0" showRowColHeaders="0" workbookViewId="0">
      <selection activeCell="F10" sqref="F10"/>
    </sheetView>
  </sheetViews>
  <sheetFormatPr defaultRowHeight="14.5" outlineLevelRow="2" x14ac:dyDescent="0.35"/>
  <cols>
    <col min="3" max="3" width="10" customWidth="1"/>
    <col min="4" max="4" width="18.81640625" customWidth="1"/>
    <col min="5" max="5" width="19.36328125" customWidth="1"/>
    <col min="6" max="6" width="19.6328125" customWidth="1"/>
    <col min="7" max="7" width="15.90625" customWidth="1"/>
    <col min="8" max="8" width="13" bestFit="1" customWidth="1"/>
    <col min="9" max="9" width="15" bestFit="1" customWidth="1"/>
    <col min="10" max="10" width="11.26953125" bestFit="1" customWidth="1"/>
    <col min="11" max="11" width="9.1796875" customWidth="1"/>
    <col min="12" max="12" width="11.36328125" customWidth="1"/>
  </cols>
  <sheetData>
    <row r="1" spans="1:12" ht="30" x14ac:dyDescent="0.6">
      <c r="A1" s="64" t="s">
        <v>42</v>
      </c>
      <c r="B1" s="64"/>
      <c r="C1" s="64"/>
      <c r="D1" s="64"/>
      <c r="E1" s="64"/>
      <c r="F1" s="64"/>
      <c r="G1" s="64"/>
      <c r="H1" s="64"/>
      <c r="I1" s="64"/>
      <c r="J1" s="64"/>
      <c r="K1" s="64"/>
      <c r="L1" s="64"/>
    </row>
    <row r="2" spans="1:12" ht="43.5" x14ac:dyDescent="0.35">
      <c r="A2" s="58" t="s">
        <v>12</v>
      </c>
      <c r="B2" s="59" t="s">
        <v>13</v>
      </c>
      <c r="C2" s="59" t="s">
        <v>14</v>
      </c>
      <c r="D2" s="59" t="s">
        <v>16</v>
      </c>
      <c r="E2" s="59" t="s">
        <v>17</v>
      </c>
      <c r="F2" s="59" t="s">
        <v>18</v>
      </c>
      <c r="G2" s="59" t="s">
        <v>19</v>
      </c>
      <c r="H2" s="59" t="s">
        <v>20</v>
      </c>
      <c r="I2" s="59" t="s">
        <v>22</v>
      </c>
      <c r="J2" s="59" t="s">
        <v>21</v>
      </c>
      <c r="K2" s="60" t="s">
        <v>65</v>
      </c>
      <c r="L2" s="61" t="s">
        <v>66</v>
      </c>
    </row>
    <row r="3" spans="1:12" outlineLevel="2" x14ac:dyDescent="0.35">
      <c r="A3" s="10">
        <v>2021</v>
      </c>
      <c r="B3" s="11" t="s">
        <v>0</v>
      </c>
      <c r="C3" s="12">
        <v>850000</v>
      </c>
      <c r="D3" s="12">
        <v>510000</v>
      </c>
      <c r="E3" s="12">
        <v>140000</v>
      </c>
      <c r="F3" s="12">
        <v>45000</v>
      </c>
      <c r="G3" s="12">
        <v>30000</v>
      </c>
      <c r="H3" s="12">
        <f>'CLEANED DATA'!$C3-'CLEANED DATA'!$D3</f>
        <v>340000</v>
      </c>
      <c r="I3" s="12">
        <f>'CLEANED DATA'!$E3+'CLEANED DATA'!$F3+'CLEANED DATA'!$G3</f>
        <v>215000</v>
      </c>
      <c r="J3" s="12">
        <f>'CLEANED DATA'!$C3-('CLEANED DATA'!$D3+'CLEANED DATA'!$I3)</f>
        <v>125000</v>
      </c>
      <c r="K3" s="13">
        <f>'CLEANED DATA'!$J3/'CLEANED DATA'!$C3</f>
        <v>0.14705882352941177</v>
      </c>
      <c r="L3" s="14" t="s">
        <v>23</v>
      </c>
    </row>
    <row r="4" spans="1:12" outlineLevel="2" x14ac:dyDescent="0.35">
      <c r="A4" s="15">
        <v>2021</v>
      </c>
      <c r="B4" s="16" t="s">
        <v>1</v>
      </c>
      <c r="C4" s="17">
        <v>820000</v>
      </c>
      <c r="D4" s="17">
        <v>500000</v>
      </c>
      <c r="E4" s="17">
        <v>138000</v>
      </c>
      <c r="F4" s="17">
        <v>42000</v>
      </c>
      <c r="G4" s="17">
        <v>28000</v>
      </c>
      <c r="H4" s="17">
        <f>'CLEANED DATA'!$C4-'CLEANED DATA'!$D4</f>
        <v>320000</v>
      </c>
      <c r="I4" s="17">
        <f>'CLEANED DATA'!$E4+'CLEANED DATA'!$F4+'CLEANED DATA'!$G4</f>
        <v>208000</v>
      </c>
      <c r="J4" s="17">
        <f>'CLEANED DATA'!$C4-('CLEANED DATA'!$D4+'CLEANED DATA'!$I4)</f>
        <v>112000</v>
      </c>
      <c r="K4" s="18">
        <f>'CLEANED DATA'!$J4/'CLEANED DATA'!$C4</f>
        <v>0.13658536585365855</v>
      </c>
      <c r="L4" s="19">
        <f>('CLEANED DATA'!$C4-C3)/C3</f>
        <v>-3.5294117647058823E-2</v>
      </c>
    </row>
    <row r="5" spans="1:12" outlineLevel="2" x14ac:dyDescent="0.35">
      <c r="A5" s="10">
        <v>2021</v>
      </c>
      <c r="B5" s="11" t="s">
        <v>2</v>
      </c>
      <c r="C5" s="12">
        <v>900000</v>
      </c>
      <c r="D5" s="12">
        <v>540000</v>
      </c>
      <c r="E5" s="12">
        <v>145000</v>
      </c>
      <c r="F5" s="12">
        <v>47000</v>
      </c>
      <c r="G5" s="12">
        <v>31000</v>
      </c>
      <c r="H5" s="12">
        <f>'CLEANED DATA'!$C5-'CLEANED DATA'!$D5</f>
        <v>360000</v>
      </c>
      <c r="I5" s="12">
        <f>'CLEANED DATA'!$E5+'CLEANED DATA'!$F5+'CLEANED DATA'!$G5</f>
        <v>223000</v>
      </c>
      <c r="J5" s="12">
        <f>'CLEANED DATA'!$C5-('CLEANED DATA'!$D5+'CLEANED DATA'!$I5)</f>
        <v>137000</v>
      </c>
      <c r="K5" s="13">
        <f>'CLEANED DATA'!$J5/'CLEANED DATA'!$C5</f>
        <v>0.15222222222222223</v>
      </c>
      <c r="L5" s="20">
        <f>('CLEANED DATA'!$C5-C4)/C4</f>
        <v>9.7560975609756101E-2</v>
      </c>
    </row>
    <row r="6" spans="1:12" outlineLevel="2" x14ac:dyDescent="0.35">
      <c r="A6" s="15">
        <v>2021</v>
      </c>
      <c r="B6" s="16" t="s">
        <v>3</v>
      </c>
      <c r="C6" s="17">
        <v>870000</v>
      </c>
      <c r="D6" s="17">
        <v>525000</v>
      </c>
      <c r="E6" s="17">
        <v>142000</v>
      </c>
      <c r="F6" s="17">
        <v>46000</v>
      </c>
      <c r="G6" s="17">
        <v>29500</v>
      </c>
      <c r="H6" s="17">
        <f>'CLEANED DATA'!$C6-'CLEANED DATA'!$D6</f>
        <v>345000</v>
      </c>
      <c r="I6" s="17">
        <f>'CLEANED DATA'!$E6+'CLEANED DATA'!$F6+'CLEANED DATA'!$G6</f>
        <v>217500</v>
      </c>
      <c r="J6" s="17">
        <f>'CLEANED DATA'!$C6-('CLEANED DATA'!$D6+'CLEANED DATA'!$I6)</f>
        <v>127500</v>
      </c>
      <c r="K6" s="18">
        <f>'CLEANED DATA'!$J6/'CLEANED DATA'!$C6</f>
        <v>0.14655172413793102</v>
      </c>
      <c r="L6" s="19">
        <f>('CLEANED DATA'!$C6-C5)/C5</f>
        <v>-3.3333333333333333E-2</v>
      </c>
    </row>
    <row r="7" spans="1:12" outlineLevel="2" x14ac:dyDescent="0.35">
      <c r="A7" s="10">
        <v>2021</v>
      </c>
      <c r="B7" s="11" t="s">
        <v>4</v>
      </c>
      <c r="C7" s="12">
        <v>920000</v>
      </c>
      <c r="D7" s="12">
        <v>550000</v>
      </c>
      <c r="E7" s="12">
        <v>148000</v>
      </c>
      <c r="F7" s="12">
        <v>48000</v>
      </c>
      <c r="G7" s="12">
        <v>32000</v>
      </c>
      <c r="H7" s="12">
        <f>'CLEANED DATA'!$C7-'CLEANED DATA'!$D7</f>
        <v>370000</v>
      </c>
      <c r="I7" s="12">
        <f>'CLEANED DATA'!$E7+'CLEANED DATA'!$F7+'CLEANED DATA'!$G7</f>
        <v>228000</v>
      </c>
      <c r="J7" s="12">
        <f>'CLEANED DATA'!$C7-('CLEANED DATA'!$D7+'CLEANED DATA'!$I7)</f>
        <v>142000</v>
      </c>
      <c r="K7" s="13">
        <f>'CLEANED DATA'!$J7/'CLEANED DATA'!$C7</f>
        <v>0.15434782608695652</v>
      </c>
      <c r="L7" s="20">
        <f>('CLEANED DATA'!$C7-C6)/C6</f>
        <v>5.7471264367816091E-2</v>
      </c>
    </row>
    <row r="8" spans="1:12" outlineLevel="2" x14ac:dyDescent="0.35">
      <c r="A8" s="15">
        <v>2021</v>
      </c>
      <c r="B8" s="16" t="s">
        <v>5</v>
      </c>
      <c r="C8" s="17">
        <v>950000</v>
      </c>
      <c r="D8" s="17">
        <v>570000</v>
      </c>
      <c r="E8" s="17">
        <v>150000</v>
      </c>
      <c r="F8" s="17">
        <v>50000</v>
      </c>
      <c r="G8" s="17">
        <v>33000</v>
      </c>
      <c r="H8" s="17">
        <f>'CLEANED DATA'!$C8-'CLEANED DATA'!$D8</f>
        <v>380000</v>
      </c>
      <c r="I8" s="17">
        <f>'CLEANED DATA'!$E8+'CLEANED DATA'!$F8+'CLEANED DATA'!$G8</f>
        <v>233000</v>
      </c>
      <c r="J8" s="17">
        <f>'CLEANED DATA'!$C8-('CLEANED DATA'!$D8+'CLEANED DATA'!$I8)</f>
        <v>147000</v>
      </c>
      <c r="K8" s="18">
        <f>'CLEANED DATA'!$J8/'CLEANED DATA'!$C8</f>
        <v>0.15473684210526314</v>
      </c>
      <c r="L8" s="19">
        <f>('CLEANED DATA'!$C8-C7)/C7</f>
        <v>3.2608695652173912E-2</v>
      </c>
    </row>
    <row r="9" spans="1:12" outlineLevel="2" x14ac:dyDescent="0.35">
      <c r="A9" s="10">
        <v>2021</v>
      </c>
      <c r="B9" s="11" t="s">
        <v>6</v>
      </c>
      <c r="C9" s="12">
        <v>980000</v>
      </c>
      <c r="D9" s="12">
        <v>590000</v>
      </c>
      <c r="E9" s="12">
        <v>152000</v>
      </c>
      <c r="F9" s="12">
        <v>52000</v>
      </c>
      <c r="G9" s="12">
        <v>35000</v>
      </c>
      <c r="H9" s="12">
        <f>'CLEANED DATA'!$C9-'CLEANED DATA'!$D9</f>
        <v>390000</v>
      </c>
      <c r="I9" s="12">
        <f>'CLEANED DATA'!$E9+'CLEANED DATA'!$F9+'CLEANED DATA'!$G9</f>
        <v>239000</v>
      </c>
      <c r="J9" s="12">
        <f>'CLEANED DATA'!$C9-('CLEANED DATA'!$D9+'CLEANED DATA'!$I9)</f>
        <v>151000</v>
      </c>
      <c r="K9" s="13">
        <f>'CLEANED DATA'!$J9/'CLEANED DATA'!$C9</f>
        <v>0.15408163265306121</v>
      </c>
      <c r="L9" s="20">
        <f>('CLEANED DATA'!$C9-C8)/C8</f>
        <v>3.1578947368421054E-2</v>
      </c>
    </row>
    <row r="10" spans="1:12" outlineLevel="2" x14ac:dyDescent="0.35">
      <c r="A10" s="15">
        <v>2021</v>
      </c>
      <c r="B10" s="16" t="s">
        <v>7</v>
      </c>
      <c r="C10" s="17">
        <v>960000</v>
      </c>
      <c r="D10" s="17">
        <v>580000</v>
      </c>
      <c r="E10" s="17">
        <v>150000</v>
      </c>
      <c r="F10" s="17">
        <v>51000</v>
      </c>
      <c r="G10" s="17">
        <v>34000</v>
      </c>
      <c r="H10" s="17">
        <f>'CLEANED DATA'!$C10-'CLEANED DATA'!$D10</f>
        <v>380000</v>
      </c>
      <c r="I10" s="17">
        <f>'CLEANED DATA'!$E10+'CLEANED DATA'!$F10+'CLEANED DATA'!$G10</f>
        <v>235000</v>
      </c>
      <c r="J10" s="17">
        <f>'CLEANED DATA'!$C10-('CLEANED DATA'!$D10+'CLEANED DATA'!$I10)</f>
        <v>145000</v>
      </c>
      <c r="K10" s="18">
        <f>'CLEANED DATA'!$J10/'CLEANED DATA'!$C10</f>
        <v>0.15104166666666666</v>
      </c>
      <c r="L10" s="19">
        <f>('CLEANED DATA'!$C10-C9)/C9</f>
        <v>-2.0408163265306121E-2</v>
      </c>
    </row>
    <row r="11" spans="1:12" outlineLevel="2" x14ac:dyDescent="0.35">
      <c r="A11" s="10">
        <v>2021</v>
      </c>
      <c r="B11" s="11" t="s">
        <v>8</v>
      </c>
      <c r="C11" s="12">
        <v>1020000</v>
      </c>
      <c r="D11" s="12">
        <v>610000</v>
      </c>
      <c r="E11" s="12">
        <v>155000</v>
      </c>
      <c r="F11" s="12">
        <v>54000</v>
      </c>
      <c r="G11" s="12">
        <v>36000</v>
      </c>
      <c r="H11" s="12">
        <f>'CLEANED DATA'!$C11-'CLEANED DATA'!$D11</f>
        <v>410000</v>
      </c>
      <c r="I11" s="12">
        <f>'CLEANED DATA'!$E11+'CLEANED DATA'!$F11+'CLEANED DATA'!$G11</f>
        <v>245000</v>
      </c>
      <c r="J11" s="12">
        <f>'CLEANED DATA'!$C11-('CLEANED DATA'!$D11+'CLEANED DATA'!$I11)</f>
        <v>165000</v>
      </c>
      <c r="K11" s="13">
        <f>'CLEANED DATA'!$J11/'CLEANED DATA'!$C11</f>
        <v>0.16176470588235295</v>
      </c>
      <c r="L11" s="20">
        <f>('CLEANED DATA'!$C11-C10)/C10</f>
        <v>6.25E-2</v>
      </c>
    </row>
    <row r="12" spans="1:12" outlineLevel="2" x14ac:dyDescent="0.35">
      <c r="A12" s="15">
        <v>2021</v>
      </c>
      <c r="B12" s="16" t="s">
        <v>9</v>
      </c>
      <c r="C12" s="17">
        <v>1080000</v>
      </c>
      <c r="D12" s="17">
        <v>650000</v>
      </c>
      <c r="E12" s="17">
        <v>160000</v>
      </c>
      <c r="F12" s="17">
        <v>58000</v>
      </c>
      <c r="G12" s="17">
        <v>38000</v>
      </c>
      <c r="H12" s="17">
        <f>'CLEANED DATA'!$C12-'CLEANED DATA'!$D12</f>
        <v>430000</v>
      </c>
      <c r="I12" s="17">
        <f>'CLEANED DATA'!$E12+'CLEANED DATA'!$F12+'CLEANED DATA'!$G12</f>
        <v>256000</v>
      </c>
      <c r="J12" s="17">
        <f>'CLEANED DATA'!$C12-('CLEANED DATA'!$D12+'CLEANED DATA'!$I12)</f>
        <v>174000</v>
      </c>
      <c r="K12" s="18">
        <f>'CLEANED DATA'!$J12/'CLEANED DATA'!$C12</f>
        <v>0.16111111111111112</v>
      </c>
      <c r="L12" s="19">
        <f>('CLEANED DATA'!$C12-C11)/C11</f>
        <v>5.8823529411764705E-2</v>
      </c>
    </row>
    <row r="13" spans="1:12" outlineLevel="2" x14ac:dyDescent="0.35">
      <c r="A13" s="10">
        <v>2021</v>
      </c>
      <c r="B13" s="11" t="s">
        <v>10</v>
      </c>
      <c r="C13" s="12">
        <v>1150000</v>
      </c>
      <c r="D13" s="12">
        <v>690000</v>
      </c>
      <c r="E13" s="12">
        <v>165000</v>
      </c>
      <c r="F13" s="12">
        <v>62000</v>
      </c>
      <c r="G13" s="12">
        <v>40000</v>
      </c>
      <c r="H13" s="12">
        <f>'CLEANED DATA'!$C13-'CLEANED DATA'!$D13</f>
        <v>460000</v>
      </c>
      <c r="I13" s="12">
        <f>'CLEANED DATA'!$E13+'CLEANED DATA'!$F13+'CLEANED DATA'!$G13</f>
        <v>267000</v>
      </c>
      <c r="J13" s="12">
        <f>'CLEANED DATA'!$C13-('CLEANED DATA'!$D13+'CLEANED DATA'!$I13)</f>
        <v>193000</v>
      </c>
      <c r="K13" s="13">
        <f>'CLEANED DATA'!$J13/'CLEANED DATA'!$C13</f>
        <v>0.16782608695652174</v>
      </c>
      <c r="L13" s="20">
        <f>('CLEANED DATA'!$C13-C12)/C12</f>
        <v>6.4814814814814811E-2</v>
      </c>
    </row>
    <row r="14" spans="1:12" outlineLevel="2" x14ac:dyDescent="0.35">
      <c r="A14" s="15">
        <v>2021</v>
      </c>
      <c r="B14" s="16" t="s">
        <v>11</v>
      </c>
      <c r="C14" s="17">
        <v>1300000</v>
      </c>
      <c r="D14" s="17">
        <v>780000</v>
      </c>
      <c r="E14" s="17">
        <v>175000</v>
      </c>
      <c r="F14" s="17">
        <v>70000</v>
      </c>
      <c r="G14" s="17">
        <v>45000</v>
      </c>
      <c r="H14" s="17">
        <f>'CLEANED DATA'!$C14-'CLEANED DATA'!$D14</f>
        <v>520000</v>
      </c>
      <c r="I14" s="17">
        <f>'CLEANED DATA'!$E14+'CLEANED DATA'!$F14+'CLEANED DATA'!$G14</f>
        <v>290000</v>
      </c>
      <c r="J14" s="17">
        <f>'CLEANED DATA'!$C14-('CLEANED DATA'!$D14+'CLEANED DATA'!$I14)</f>
        <v>230000</v>
      </c>
      <c r="K14" s="18">
        <f>'CLEANED DATA'!$J14/'CLEANED DATA'!$C14</f>
        <v>0.17692307692307693</v>
      </c>
      <c r="L14" s="19">
        <f>('CLEANED DATA'!$C14-C13)/C13</f>
        <v>0.13043478260869565</v>
      </c>
    </row>
    <row r="15" spans="1:12" s="39" customFormat="1" ht="21.5" customHeight="1" outlineLevel="1" x14ac:dyDescent="0.35">
      <c r="A15" s="40" t="s">
        <v>31</v>
      </c>
      <c r="B15" s="35"/>
      <c r="C15" s="36">
        <f t="shared" ref="C15:J15" si="0">SUBTOTAL(9,C3:C14)</f>
        <v>11800000</v>
      </c>
      <c r="D15" s="36">
        <f t="shared" si="0"/>
        <v>7095000</v>
      </c>
      <c r="E15" s="36">
        <f t="shared" si="0"/>
        <v>1820000</v>
      </c>
      <c r="F15" s="36">
        <f t="shared" si="0"/>
        <v>625000</v>
      </c>
      <c r="G15" s="36">
        <f t="shared" si="0"/>
        <v>411500</v>
      </c>
      <c r="H15" s="36">
        <f t="shared" si="0"/>
        <v>4705000</v>
      </c>
      <c r="I15" s="36">
        <f t="shared" si="0"/>
        <v>2856500</v>
      </c>
      <c r="J15" s="36">
        <f t="shared" si="0"/>
        <v>1848500</v>
      </c>
      <c r="K15" s="37"/>
      <c r="L15" s="38"/>
    </row>
    <row r="16" spans="1:12" outlineLevel="2" x14ac:dyDescent="0.35">
      <c r="A16" s="10">
        <v>2022</v>
      </c>
      <c r="B16" s="11" t="s">
        <v>0</v>
      </c>
      <c r="C16" s="12">
        <v>920000</v>
      </c>
      <c r="D16" s="12">
        <v>550000</v>
      </c>
      <c r="E16" s="12">
        <v>145000</v>
      </c>
      <c r="F16" s="12">
        <v>47000</v>
      </c>
      <c r="G16" s="12">
        <v>32000</v>
      </c>
      <c r="H16" s="12">
        <f>'CLEANED DATA'!$C16-'CLEANED DATA'!$D16</f>
        <v>370000</v>
      </c>
      <c r="I16" s="12">
        <f>'CLEANED DATA'!$E16+'CLEANED DATA'!$F16+'CLEANED DATA'!$G16</f>
        <v>224000</v>
      </c>
      <c r="J16" s="12">
        <f>'CLEANED DATA'!$C16-('CLEANED DATA'!$D16+'CLEANED DATA'!$I16)</f>
        <v>146000</v>
      </c>
      <c r="K16" s="13">
        <f>'CLEANED DATA'!$J16/'CLEANED DATA'!$C16</f>
        <v>0.15869565217391304</v>
      </c>
      <c r="L16" s="20">
        <f>('CLEANED DATA'!$C16-C14)/C14</f>
        <v>-0.29230769230769232</v>
      </c>
    </row>
    <row r="17" spans="1:12" outlineLevel="2" x14ac:dyDescent="0.35">
      <c r="A17" s="15">
        <v>2022</v>
      </c>
      <c r="B17" s="16" t="s">
        <v>1</v>
      </c>
      <c r="C17" s="17">
        <v>900000</v>
      </c>
      <c r="D17" s="17">
        <v>540000</v>
      </c>
      <c r="E17" s="17">
        <v>142000</v>
      </c>
      <c r="F17" s="17">
        <v>45000</v>
      </c>
      <c r="G17" s="17">
        <v>30000</v>
      </c>
      <c r="H17" s="17">
        <f>'CLEANED DATA'!$C17-'CLEANED DATA'!$D17</f>
        <v>360000</v>
      </c>
      <c r="I17" s="17">
        <f>'CLEANED DATA'!$E17+'CLEANED DATA'!$F17+'CLEANED DATA'!$G17</f>
        <v>217000</v>
      </c>
      <c r="J17" s="17">
        <f>'CLEANED DATA'!$C17-('CLEANED DATA'!$D17+'CLEANED DATA'!$I17)</f>
        <v>143000</v>
      </c>
      <c r="K17" s="18">
        <f>'CLEANED DATA'!$J17/'CLEANED DATA'!$C17</f>
        <v>0.15888888888888889</v>
      </c>
      <c r="L17" s="19">
        <f>('CLEANED DATA'!$C17-C16)/C16</f>
        <v>-2.1739130434782608E-2</v>
      </c>
    </row>
    <row r="18" spans="1:12" outlineLevel="2" x14ac:dyDescent="0.35">
      <c r="A18" s="10">
        <v>2022</v>
      </c>
      <c r="B18" s="11" t="s">
        <v>2</v>
      </c>
      <c r="C18" s="12">
        <v>980000</v>
      </c>
      <c r="D18" s="12">
        <v>590000</v>
      </c>
      <c r="E18" s="12">
        <v>148000</v>
      </c>
      <c r="F18" s="12">
        <v>49000</v>
      </c>
      <c r="G18" s="12">
        <v>34000</v>
      </c>
      <c r="H18" s="12">
        <f>'CLEANED DATA'!$C18-'CLEANED DATA'!$D18</f>
        <v>390000</v>
      </c>
      <c r="I18" s="12">
        <f>'CLEANED DATA'!$E18+'CLEANED DATA'!$F18+'CLEANED DATA'!$G18</f>
        <v>231000</v>
      </c>
      <c r="J18" s="12">
        <f>'CLEANED DATA'!$C18-('CLEANED DATA'!$D18+'CLEANED DATA'!$I18)</f>
        <v>159000</v>
      </c>
      <c r="K18" s="13">
        <f>'CLEANED DATA'!$J18/'CLEANED DATA'!$C18</f>
        <v>0.16224489795918368</v>
      </c>
      <c r="L18" s="20">
        <f>('CLEANED DATA'!$C18-C17)/C17</f>
        <v>8.8888888888888892E-2</v>
      </c>
    </row>
    <row r="19" spans="1:12" outlineLevel="2" x14ac:dyDescent="0.35">
      <c r="A19" s="15">
        <v>2022</v>
      </c>
      <c r="B19" s="16" t="s">
        <v>3</v>
      </c>
      <c r="C19" s="17">
        <v>1010000</v>
      </c>
      <c r="D19" s="17">
        <v>610000</v>
      </c>
      <c r="E19" s="17">
        <v>150000</v>
      </c>
      <c r="F19" s="17">
        <v>52000</v>
      </c>
      <c r="G19" s="17">
        <v>36000</v>
      </c>
      <c r="H19" s="17">
        <f>'CLEANED DATA'!$C19-'CLEANED DATA'!$D19</f>
        <v>400000</v>
      </c>
      <c r="I19" s="17">
        <f>'CLEANED DATA'!$E19+'CLEANED DATA'!$F19+'CLEANED DATA'!$G19</f>
        <v>238000</v>
      </c>
      <c r="J19" s="17">
        <f>'CLEANED DATA'!$C19-('CLEANED DATA'!$D19+'CLEANED DATA'!$I19)</f>
        <v>162000</v>
      </c>
      <c r="K19" s="18">
        <f>'CLEANED DATA'!$J19/'CLEANED DATA'!$C19</f>
        <v>0.1603960396039604</v>
      </c>
      <c r="L19" s="19">
        <f>('CLEANED DATA'!$C19-C18)/C18</f>
        <v>3.0612244897959183E-2</v>
      </c>
    </row>
    <row r="20" spans="1:12" outlineLevel="2" x14ac:dyDescent="0.35">
      <c r="A20" s="10">
        <v>2022</v>
      </c>
      <c r="B20" s="11" t="s">
        <v>4</v>
      </c>
      <c r="C20" s="12">
        <v>1060000</v>
      </c>
      <c r="D20" s="12">
        <v>640000</v>
      </c>
      <c r="E20" s="12">
        <v>155000</v>
      </c>
      <c r="F20" s="12">
        <v>55000</v>
      </c>
      <c r="G20" s="12">
        <v>38000</v>
      </c>
      <c r="H20" s="12">
        <f>'CLEANED DATA'!$C20-'CLEANED DATA'!$D20</f>
        <v>420000</v>
      </c>
      <c r="I20" s="12">
        <f>'CLEANED DATA'!$E20+'CLEANED DATA'!$F20+'CLEANED DATA'!$G20</f>
        <v>248000</v>
      </c>
      <c r="J20" s="12">
        <f>'CLEANED DATA'!$C20-('CLEANED DATA'!$D20+'CLEANED DATA'!$I20)</f>
        <v>172000</v>
      </c>
      <c r="K20" s="13">
        <f>'CLEANED DATA'!$J20/'CLEANED DATA'!$C20</f>
        <v>0.16226415094339622</v>
      </c>
      <c r="L20" s="20">
        <f>('CLEANED DATA'!$C20-C19)/C19</f>
        <v>4.9504950495049507E-2</v>
      </c>
    </row>
    <row r="21" spans="1:12" outlineLevel="2" x14ac:dyDescent="0.35">
      <c r="A21" s="15">
        <v>2022</v>
      </c>
      <c r="B21" s="16" t="s">
        <v>5</v>
      </c>
      <c r="C21" s="17">
        <v>1100000</v>
      </c>
      <c r="D21" s="17">
        <v>660000</v>
      </c>
      <c r="E21" s="17">
        <v>158000</v>
      </c>
      <c r="F21" s="17">
        <v>58000</v>
      </c>
      <c r="G21" s="17">
        <v>40000</v>
      </c>
      <c r="H21" s="17">
        <f>'CLEANED DATA'!$C21-'CLEANED DATA'!$D21</f>
        <v>440000</v>
      </c>
      <c r="I21" s="17">
        <f>'CLEANED DATA'!$E21+'CLEANED DATA'!$F21+'CLEANED DATA'!$G21</f>
        <v>256000</v>
      </c>
      <c r="J21" s="17">
        <f>'CLEANED DATA'!$C21-('CLEANED DATA'!$D21+'CLEANED DATA'!$I21)</f>
        <v>184000</v>
      </c>
      <c r="K21" s="18">
        <f>'CLEANED DATA'!$J21/'CLEANED DATA'!$C21</f>
        <v>0.16727272727272727</v>
      </c>
      <c r="L21" s="19">
        <f>('CLEANED DATA'!$C21-C20)/C20</f>
        <v>3.7735849056603772E-2</v>
      </c>
    </row>
    <row r="22" spans="1:12" outlineLevel="2" x14ac:dyDescent="0.35">
      <c r="A22" s="10">
        <v>2022</v>
      </c>
      <c r="B22" s="11" t="s">
        <v>6</v>
      </c>
      <c r="C22" s="12">
        <v>1140000</v>
      </c>
      <c r="D22" s="12">
        <v>690000</v>
      </c>
      <c r="E22" s="12">
        <v>160000</v>
      </c>
      <c r="F22" s="12">
        <v>60000</v>
      </c>
      <c r="G22" s="12">
        <v>42000</v>
      </c>
      <c r="H22" s="12">
        <f>'CLEANED DATA'!$C22-'CLEANED DATA'!$D22</f>
        <v>450000</v>
      </c>
      <c r="I22" s="12">
        <f>'CLEANED DATA'!$E22+'CLEANED DATA'!$F22+'CLEANED DATA'!$G22</f>
        <v>262000</v>
      </c>
      <c r="J22" s="12">
        <f>'CLEANED DATA'!$C22-('CLEANED DATA'!$D22+'CLEANED DATA'!$I22)</f>
        <v>188000</v>
      </c>
      <c r="K22" s="13">
        <f>'CLEANED DATA'!$J22/'CLEANED DATA'!$C22</f>
        <v>0.1649122807017544</v>
      </c>
      <c r="L22" s="20">
        <f>('CLEANED DATA'!$C22-C21)/C21</f>
        <v>3.6363636363636362E-2</v>
      </c>
    </row>
    <row r="23" spans="1:12" outlineLevel="2" x14ac:dyDescent="0.35">
      <c r="A23" s="15">
        <v>2022</v>
      </c>
      <c r="B23" s="16" t="s">
        <v>7</v>
      </c>
      <c r="C23" s="17">
        <v>1120000</v>
      </c>
      <c r="D23" s="17">
        <v>680000</v>
      </c>
      <c r="E23" s="17">
        <v>158000</v>
      </c>
      <c r="F23" s="17">
        <v>59000</v>
      </c>
      <c r="G23" s="17">
        <v>41000</v>
      </c>
      <c r="H23" s="17">
        <f>'CLEANED DATA'!$C23-'CLEANED DATA'!$D23</f>
        <v>440000</v>
      </c>
      <c r="I23" s="17">
        <f>'CLEANED DATA'!$E23+'CLEANED DATA'!$F23+'CLEANED DATA'!$G23</f>
        <v>258000</v>
      </c>
      <c r="J23" s="17">
        <f>'CLEANED DATA'!$C23-('CLEANED DATA'!$D23+'CLEANED DATA'!$I23)</f>
        <v>182000</v>
      </c>
      <c r="K23" s="18">
        <f>'CLEANED DATA'!$J23/'CLEANED DATA'!$C23</f>
        <v>0.16250000000000001</v>
      </c>
      <c r="L23" s="19">
        <f>('CLEANED DATA'!$C23-C22)/C22</f>
        <v>-1.7543859649122806E-2</v>
      </c>
    </row>
    <row r="24" spans="1:12" outlineLevel="2" x14ac:dyDescent="0.35">
      <c r="A24" s="10">
        <v>2022</v>
      </c>
      <c r="B24" s="11" t="s">
        <v>8</v>
      </c>
      <c r="C24" s="12">
        <v>1180000</v>
      </c>
      <c r="D24" s="12">
        <v>710000</v>
      </c>
      <c r="E24" s="12">
        <v>162000</v>
      </c>
      <c r="F24" s="12">
        <v>63000</v>
      </c>
      <c r="G24" s="12">
        <v>44000</v>
      </c>
      <c r="H24" s="12">
        <f>'CLEANED DATA'!$C24-'CLEANED DATA'!$D24</f>
        <v>470000</v>
      </c>
      <c r="I24" s="12">
        <f>'CLEANED DATA'!$E24+'CLEANED DATA'!$F24+'CLEANED DATA'!$G24</f>
        <v>269000</v>
      </c>
      <c r="J24" s="12">
        <f>'CLEANED DATA'!$C24-('CLEANED DATA'!$D24+'CLEANED DATA'!$I24)</f>
        <v>201000</v>
      </c>
      <c r="K24" s="13">
        <f>'CLEANED DATA'!$J24/'CLEANED DATA'!$C24</f>
        <v>0.17033898305084746</v>
      </c>
      <c r="L24" s="20">
        <f>('CLEANED DATA'!$C24-C23)/C23</f>
        <v>5.3571428571428568E-2</v>
      </c>
    </row>
    <row r="25" spans="1:12" outlineLevel="2" x14ac:dyDescent="0.35">
      <c r="A25" s="15">
        <v>2022</v>
      </c>
      <c r="B25" s="16" t="s">
        <v>9</v>
      </c>
      <c r="C25" s="17">
        <v>1250000</v>
      </c>
      <c r="D25" s="17">
        <v>750000</v>
      </c>
      <c r="E25" s="17">
        <v>168000</v>
      </c>
      <c r="F25" s="17">
        <v>68000</v>
      </c>
      <c r="G25" s="17">
        <v>47000</v>
      </c>
      <c r="H25" s="17">
        <f>'CLEANED DATA'!$C25-'CLEANED DATA'!$D25</f>
        <v>500000</v>
      </c>
      <c r="I25" s="17">
        <f>'CLEANED DATA'!$E25+'CLEANED DATA'!$F25+'CLEANED DATA'!$G25</f>
        <v>283000</v>
      </c>
      <c r="J25" s="17">
        <f>'CLEANED DATA'!$C25-('CLEANED DATA'!$D25+'CLEANED DATA'!$I25)</f>
        <v>217000</v>
      </c>
      <c r="K25" s="18">
        <f>'CLEANED DATA'!$J25/'CLEANED DATA'!$C25</f>
        <v>0.1736</v>
      </c>
      <c r="L25" s="19">
        <f>('CLEANED DATA'!$C25-C24)/C24</f>
        <v>5.9322033898305086E-2</v>
      </c>
    </row>
    <row r="26" spans="1:12" outlineLevel="2" x14ac:dyDescent="0.35">
      <c r="A26" s="10">
        <v>2022</v>
      </c>
      <c r="B26" s="11" t="s">
        <v>10</v>
      </c>
      <c r="C26" s="12">
        <v>1320000</v>
      </c>
      <c r="D26" s="12">
        <v>790000</v>
      </c>
      <c r="E26" s="12">
        <v>172000</v>
      </c>
      <c r="F26" s="12">
        <v>72000</v>
      </c>
      <c r="G26" s="12">
        <v>50000</v>
      </c>
      <c r="H26" s="12">
        <f>'CLEANED DATA'!$C26-'CLEANED DATA'!$D26</f>
        <v>530000</v>
      </c>
      <c r="I26" s="12">
        <f>'CLEANED DATA'!$E26+'CLEANED DATA'!$F26+'CLEANED DATA'!$G26</f>
        <v>294000</v>
      </c>
      <c r="J26" s="12">
        <f>'CLEANED DATA'!$C26-('CLEANED DATA'!$D26+'CLEANED DATA'!$I26)</f>
        <v>236000</v>
      </c>
      <c r="K26" s="13">
        <f>'CLEANED DATA'!$J26/'CLEANED DATA'!$C26</f>
        <v>0.1787878787878788</v>
      </c>
      <c r="L26" s="20">
        <f>('CLEANED DATA'!$C26-C25)/C25</f>
        <v>5.6000000000000001E-2</v>
      </c>
    </row>
    <row r="27" spans="1:12" outlineLevel="2" x14ac:dyDescent="0.35">
      <c r="A27" s="15">
        <v>2022</v>
      </c>
      <c r="B27" s="16" t="s">
        <v>11</v>
      </c>
      <c r="C27" s="17">
        <v>1480000</v>
      </c>
      <c r="D27" s="17">
        <v>880000</v>
      </c>
      <c r="E27" s="17">
        <v>180000</v>
      </c>
      <c r="F27" s="17">
        <v>80000</v>
      </c>
      <c r="G27" s="17">
        <v>56000</v>
      </c>
      <c r="H27" s="17">
        <f>'CLEANED DATA'!$C27-'CLEANED DATA'!$D27</f>
        <v>600000</v>
      </c>
      <c r="I27" s="17">
        <f>'CLEANED DATA'!$E27+'CLEANED DATA'!$F27+'CLEANED DATA'!$G27</f>
        <v>316000</v>
      </c>
      <c r="J27" s="17">
        <f>'CLEANED DATA'!$C27-('CLEANED DATA'!$D27+'CLEANED DATA'!$I27)</f>
        <v>284000</v>
      </c>
      <c r="K27" s="18">
        <f>'CLEANED DATA'!$J27/'CLEANED DATA'!$C27</f>
        <v>0.1918918918918919</v>
      </c>
      <c r="L27" s="19">
        <f>('CLEANED DATA'!$C27-C26)/C26</f>
        <v>0.12121212121212122</v>
      </c>
    </row>
    <row r="28" spans="1:12" s="39" customFormat="1" ht="19" customHeight="1" outlineLevel="1" x14ac:dyDescent="0.35">
      <c r="A28" s="34" t="s">
        <v>32</v>
      </c>
      <c r="B28" s="35"/>
      <c r="C28" s="36">
        <f t="shared" ref="C28:J28" si="1">SUBTOTAL(9,C16:C27)</f>
        <v>13460000</v>
      </c>
      <c r="D28" s="36">
        <f t="shared" si="1"/>
        <v>8090000</v>
      </c>
      <c r="E28" s="36">
        <f t="shared" si="1"/>
        <v>1898000</v>
      </c>
      <c r="F28" s="36">
        <f t="shared" si="1"/>
        <v>708000</v>
      </c>
      <c r="G28" s="36">
        <f t="shared" si="1"/>
        <v>490000</v>
      </c>
      <c r="H28" s="36">
        <f t="shared" si="1"/>
        <v>5370000</v>
      </c>
      <c r="I28" s="36">
        <f t="shared" si="1"/>
        <v>3096000</v>
      </c>
      <c r="J28" s="36">
        <f t="shared" si="1"/>
        <v>2274000</v>
      </c>
      <c r="K28" s="37"/>
      <c r="L28" s="38"/>
    </row>
    <row r="29" spans="1:12" outlineLevel="2" x14ac:dyDescent="0.35">
      <c r="A29" s="10">
        <v>2023</v>
      </c>
      <c r="B29" s="11" t="s">
        <v>0</v>
      </c>
      <c r="C29" s="12">
        <v>1050000</v>
      </c>
      <c r="D29" s="12">
        <v>630000</v>
      </c>
      <c r="E29" s="12">
        <v>150000</v>
      </c>
      <c r="F29" s="12">
        <v>52000</v>
      </c>
      <c r="G29" s="12">
        <v>36000</v>
      </c>
      <c r="H29" s="12">
        <f>'CLEANED DATA'!$C29-'CLEANED DATA'!$D29</f>
        <v>420000</v>
      </c>
      <c r="I29" s="12">
        <f>'CLEANED DATA'!$E29+'CLEANED DATA'!$F29+'CLEANED DATA'!$G29</f>
        <v>238000</v>
      </c>
      <c r="J29" s="12">
        <f>'CLEANED DATA'!$C29-('CLEANED DATA'!$D29+'CLEANED DATA'!$I29)</f>
        <v>182000</v>
      </c>
      <c r="K29" s="13">
        <f>'CLEANED DATA'!$J29/'CLEANED DATA'!$C29</f>
        <v>0.17333333333333334</v>
      </c>
      <c r="L29" s="20">
        <f>('CLEANED DATA'!$C29-C27)/C27</f>
        <v>-0.29054054054054052</v>
      </c>
    </row>
    <row r="30" spans="1:12" outlineLevel="2" x14ac:dyDescent="0.35">
      <c r="A30" s="15">
        <v>2023</v>
      </c>
      <c r="B30" s="16" t="s">
        <v>1</v>
      </c>
      <c r="C30" s="17">
        <v>1020000</v>
      </c>
      <c r="D30" s="17">
        <v>620000</v>
      </c>
      <c r="E30" s="17">
        <v>148000</v>
      </c>
      <c r="F30" s="17">
        <v>50000</v>
      </c>
      <c r="G30" s="17">
        <v>34000</v>
      </c>
      <c r="H30" s="17">
        <f>'CLEANED DATA'!$C30-'CLEANED DATA'!$D30</f>
        <v>400000</v>
      </c>
      <c r="I30" s="17">
        <f>'CLEANED DATA'!$E30+'CLEANED DATA'!$F30+'CLEANED DATA'!$G30</f>
        <v>232000</v>
      </c>
      <c r="J30" s="17">
        <f>'CLEANED DATA'!$C30-('CLEANED DATA'!$D30+'CLEANED DATA'!$I30)</f>
        <v>168000</v>
      </c>
      <c r="K30" s="18">
        <f>'CLEANED DATA'!$J30/'CLEANED DATA'!$C30</f>
        <v>0.16470588235294117</v>
      </c>
      <c r="L30" s="19">
        <f>('CLEANED DATA'!$C30-C29)/C29</f>
        <v>-2.8571428571428571E-2</v>
      </c>
    </row>
    <row r="31" spans="1:12" outlineLevel="2" x14ac:dyDescent="0.35">
      <c r="A31" s="10">
        <v>2023</v>
      </c>
      <c r="B31" s="11" t="s">
        <v>2</v>
      </c>
      <c r="C31" s="12">
        <v>1100000</v>
      </c>
      <c r="D31" s="12">
        <v>660000</v>
      </c>
      <c r="E31" s="12">
        <v>152000</v>
      </c>
      <c r="F31" s="12">
        <v>54000</v>
      </c>
      <c r="G31" s="12">
        <v>38000</v>
      </c>
      <c r="H31" s="12">
        <f>'CLEANED DATA'!$C31-'CLEANED DATA'!$D31</f>
        <v>440000</v>
      </c>
      <c r="I31" s="12">
        <f>'CLEANED DATA'!$E31+'CLEANED DATA'!$F31+'CLEANED DATA'!$G31</f>
        <v>244000</v>
      </c>
      <c r="J31" s="12">
        <f>'CLEANED DATA'!$C31-('CLEANED DATA'!$D31+'CLEANED DATA'!$I31)</f>
        <v>196000</v>
      </c>
      <c r="K31" s="13">
        <f>'CLEANED DATA'!$J31/'CLEANED DATA'!$C31</f>
        <v>0.17818181818181819</v>
      </c>
      <c r="L31" s="20">
        <f>('CLEANED DATA'!$C31-C30)/C30</f>
        <v>7.8431372549019607E-2</v>
      </c>
    </row>
    <row r="32" spans="1:12" outlineLevel="2" x14ac:dyDescent="0.35">
      <c r="A32" s="15">
        <v>2023</v>
      </c>
      <c r="B32" s="16" t="s">
        <v>3</v>
      </c>
      <c r="C32" s="17">
        <v>1140000</v>
      </c>
      <c r="D32" s="17">
        <v>680000</v>
      </c>
      <c r="E32" s="17">
        <v>155000</v>
      </c>
      <c r="F32" s="17">
        <v>56000</v>
      </c>
      <c r="G32" s="17">
        <v>40000</v>
      </c>
      <c r="H32" s="17">
        <f>'CLEANED DATA'!$C32-'CLEANED DATA'!$D32</f>
        <v>460000</v>
      </c>
      <c r="I32" s="17">
        <f>'CLEANED DATA'!$E32+'CLEANED DATA'!$F32+'CLEANED DATA'!$G32</f>
        <v>251000</v>
      </c>
      <c r="J32" s="17">
        <f>'CLEANED DATA'!$C32-('CLEANED DATA'!$D32+'CLEANED DATA'!$I32)</f>
        <v>209000</v>
      </c>
      <c r="K32" s="18">
        <f>'CLEANED DATA'!$J32/'CLEANED DATA'!$C32</f>
        <v>0.18333333333333332</v>
      </c>
      <c r="L32" s="19">
        <f>('CLEANED DATA'!$C32-C31)/C31</f>
        <v>3.6363636363636362E-2</v>
      </c>
    </row>
    <row r="33" spans="1:12" outlineLevel="2" x14ac:dyDescent="0.35">
      <c r="A33" s="10">
        <v>2023</v>
      </c>
      <c r="B33" s="11" t="s">
        <v>4</v>
      </c>
      <c r="C33" s="12">
        <v>1180000</v>
      </c>
      <c r="D33" s="12">
        <v>710000</v>
      </c>
      <c r="E33" s="12">
        <v>158000</v>
      </c>
      <c r="F33" s="12">
        <v>59000</v>
      </c>
      <c r="G33" s="12">
        <v>42000</v>
      </c>
      <c r="H33" s="12">
        <f>'CLEANED DATA'!$C33-'CLEANED DATA'!$D33</f>
        <v>470000</v>
      </c>
      <c r="I33" s="12">
        <f>'CLEANED DATA'!$E33+'CLEANED DATA'!$F33+'CLEANED DATA'!$G33</f>
        <v>259000</v>
      </c>
      <c r="J33" s="12">
        <f>'CLEANED DATA'!$C33-('CLEANED DATA'!$D33+'CLEANED DATA'!$I33)</f>
        <v>211000</v>
      </c>
      <c r="K33" s="13">
        <f>'CLEANED DATA'!$J33/'CLEANED DATA'!$C33</f>
        <v>0.17881355932203391</v>
      </c>
      <c r="L33" s="20">
        <f>('CLEANED DATA'!$C33-C32)/C32</f>
        <v>3.5087719298245612E-2</v>
      </c>
    </row>
    <row r="34" spans="1:12" outlineLevel="2" x14ac:dyDescent="0.35">
      <c r="A34" s="15">
        <v>2023</v>
      </c>
      <c r="B34" s="16" t="s">
        <v>5</v>
      </c>
      <c r="C34" s="17">
        <v>1220000</v>
      </c>
      <c r="D34" s="17">
        <v>730000</v>
      </c>
      <c r="E34" s="17">
        <v>160000</v>
      </c>
      <c r="F34" s="17">
        <v>62000</v>
      </c>
      <c r="G34" s="17">
        <v>44000</v>
      </c>
      <c r="H34" s="17">
        <f>'CLEANED DATA'!$C34-'CLEANED DATA'!$D34</f>
        <v>490000</v>
      </c>
      <c r="I34" s="17">
        <f>'CLEANED DATA'!$E34+'CLEANED DATA'!$F34+'CLEANED DATA'!$G34</f>
        <v>266000</v>
      </c>
      <c r="J34" s="17">
        <f>'CLEANED DATA'!$C34-('CLEANED DATA'!$D34+'CLEANED DATA'!$I34)</f>
        <v>224000</v>
      </c>
      <c r="K34" s="18">
        <f>'CLEANED DATA'!$J34/'CLEANED DATA'!$C34</f>
        <v>0.18360655737704917</v>
      </c>
      <c r="L34" s="19">
        <f>('CLEANED DATA'!$C34-C33)/C33</f>
        <v>3.3898305084745763E-2</v>
      </c>
    </row>
    <row r="35" spans="1:12" outlineLevel="2" x14ac:dyDescent="0.35">
      <c r="A35" s="10">
        <v>2023</v>
      </c>
      <c r="B35" s="11" t="s">
        <v>6</v>
      </c>
      <c r="C35" s="12">
        <v>1270000</v>
      </c>
      <c r="D35" s="12">
        <v>760000</v>
      </c>
      <c r="E35" s="12">
        <v>162000</v>
      </c>
      <c r="F35" s="12">
        <v>65000</v>
      </c>
      <c r="G35" s="12">
        <v>47000</v>
      </c>
      <c r="H35" s="12">
        <f>'CLEANED DATA'!$C35-'CLEANED DATA'!$D35</f>
        <v>510000</v>
      </c>
      <c r="I35" s="12">
        <f>'CLEANED DATA'!$E35+'CLEANED DATA'!$F35+'CLEANED DATA'!$G35</f>
        <v>274000</v>
      </c>
      <c r="J35" s="12">
        <f>'CLEANED DATA'!$C35-('CLEANED DATA'!$D35+'CLEANED DATA'!$I35)</f>
        <v>236000</v>
      </c>
      <c r="K35" s="13">
        <f>'CLEANED DATA'!$J35/'CLEANED DATA'!$C35</f>
        <v>0.1858267716535433</v>
      </c>
      <c r="L35" s="20">
        <f>('CLEANED DATA'!$C35-C34)/C34</f>
        <v>4.0983606557377046E-2</v>
      </c>
    </row>
    <row r="36" spans="1:12" outlineLevel="2" x14ac:dyDescent="0.35">
      <c r="A36" s="15">
        <v>2023</v>
      </c>
      <c r="B36" s="16" t="s">
        <v>7</v>
      </c>
      <c r="C36" s="17">
        <v>1250000</v>
      </c>
      <c r="D36" s="17">
        <v>750000</v>
      </c>
      <c r="E36" s="17">
        <v>160000</v>
      </c>
      <c r="F36" s="17">
        <v>64000</v>
      </c>
      <c r="G36" s="17">
        <v>46000</v>
      </c>
      <c r="H36" s="17">
        <f>'CLEANED DATA'!$C36-'CLEANED DATA'!$D36</f>
        <v>500000</v>
      </c>
      <c r="I36" s="17">
        <f>'CLEANED DATA'!$E36+'CLEANED DATA'!$F36+'CLEANED DATA'!$G36</f>
        <v>270000</v>
      </c>
      <c r="J36" s="17">
        <f>'CLEANED DATA'!$C36-('CLEANED DATA'!$D36+'CLEANED DATA'!$I36)</f>
        <v>230000</v>
      </c>
      <c r="K36" s="18">
        <f>'CLEANED DATA'!$J36/'CLEANED DATA'!$C36</f>
        <v>0.184</v>
      </c>
      <c r="L36" s="19">
        <f>('CLEANED DATA'!$C36-C35)/C35</f>
        <v>-1.5748031496062992E-2</v>
      </c>
    </row>
    <row r="37" spans="1:12" outlineLevel="2" x14ac:dyDescent="0.35">
      <c r="A37" s="10">
        <v>2023</v>
      </c>
      <c r="B37" s="11" t="s">
        <v>8</v>
      </c>
      <c r="C37" s="12">
        <v>1320000</v>
      </c>
      <c r="D37" s="12">
        <v>790000</v>
      </c>
      <c r="E37" s="12">
        <v>165000</v>
      </c>
      <c r="F37" s="12">
        <v>68000</v>
      </c>
      <c r="G37" s="12">
        <v>50000</v>
      </c>
      <c r="H37" s="12">
        <f>'CLEANED DATA'!$C37-'CLEANED DATA'!$D37</f>
        <v>530000</v>
      </c>
      <c r="I37" s="12">
        <f>'CLEANED DATA'!$E37+'CLEANED DATA'!$F37+'CLEANED DATA'!$G37</f>
        <v>283000</v>
      </c>
      <c r="J37" s="12">
        <f>'CLEANED DATA'!$C37-('CLEANED DATA'!$D37+'CLEANED DATA'!$I37)</f>
        <v>247000</v>
      </c>
      <c r="K37" s="13">
        <f>'CLEANED DATA'!$J37/'CLEANED DATA'!$C37</f>
        <v>0.18712121212121213</v>
      </c>
      <c r="L37" s="20">
        <f>('CLEANED DATA'!$C37-C36)/C36</f>
        <v>5.6000000000000001E-2</v>
      </c>
    </row>
    <row r="38" spans="1:12" outlineLevel="2" x14ac:dyDescent="0.35">
      <c r="A38" s="15">
        <v>2023</v>
      </c>
      <c r="B38" s="16" t="s">
        <v>9</v>
      </c>
      <c r="C38" s="17">
        <v>1380000</v>
      </c>
      <c r="D38" s="17">
        <v>830000</v>
      </c>
      <c r="E38" s="17">
        <v>170000</v>
      </c>
      <c r="F38" s="17">
        <v>72000</v>
      </c>
      <c r="G38" s="17">
        <v>53000</v>
      </c>
      <c r="H38" s="17">
        <f>'CLEANED DATA'!$C38-'CLEANED DATA'!$D38</f>
        <v>550000</v>
      </c>
      <c r="I38" s="17">
        <f>'CLEANED DATA'!$E38+'CLEANED DATA'!$F38+'CLEANED DATA'!$G38</f>
        <v>295000</v>
      </c>
      <c r="J38" s="17">
        <f>'CLEANED DATA'!$C38-('CLEANED DATA'!$D38+'CLEANED DATA'!$I38)</f>
        <v>255000</v>
      </c>
      <c r="K38" s="18">
        <f>'CLEANED DATA'!$J38/'CLEANED DATA'!$C38</f>
        <v>0.18478260869565216</v>
      </c>
      <c r="L38" s="19">
        <f>('CLEANED DATA'!$C38-C37)/C37</f>
        <v>4.5454545454545456E-2</v>
      </c>
    </row>
    <row r="39" spans="1:12" outlineLevel="2" x14ac:dyDescent="0.35">
      <c r="A39" s="10">
        <v>2023</v>
      </c>
      <c r="B39" s="11" t="s">
        <v>10</v>
      </c>
      <c r="C39" s="12">
        <v>1450000</v>
      </c>
      <c r="D39" s="12">
        <v>870000</v>
      </c>
      <c r="E39" s="12">
        <v>175000</v>
      </c>
      <c r="F39" s="12">
        <v>76000</v>
      </c>
      <c r="G39" s="12">
        <v>56000</v>
      </c>
      <c r="H39" s="12">
        <f>'CLEANED DATA'!$C39-'CLEANED DATA'!$D39</f>
        <v>580000</v>
      </c>
      <c r="I39" s="12">
        <f>'CLEANED DATA'!$E39+'CLEANED DATA'!$F39+'CLEANED DATA'!$G39</f>
        <v>307000</v>
      </c>
      <c r="J39" s="12">
        <f>'CLEANED DATA'!$C39-('CLEANED DATA'!$D39+'CLEANED DATA'!$I39)</f>
        <v>273000</v>
      </c>
      <c r="K39" s="13">
        <f>'CLEANED DATA'!$J39/'CLEANED DATA'!$C39</f>
        <v>0.18827586206896552</v>
      </c>
      <c r="L39" s="20">
        <f>('CLEANED DATA'!$C39-C38)/C38</f>
        <v>5.0724637681159424E-2</v>
      </c>
    </row>
    <row r="40" spans="1:12" outlineLevel="2" x14ac:dyDescent="0.35">
      <c r="A40" s="15">
        <v>2023</v>
      </c>
      <c r="B40" s="16" t="s">
        <v>11</v>
      </c>
      <c r="C40" s="17">
        <v>1620000</v>
      </c>
      <c r="D40" s="17">
        <v>960000</v>
      </c>
      <c r="E40" s="17">
        <v>185000</v>
      </c>
      <c r="F40" s="17">
        <v>85000</v>
      </c>
      <c r="G40" s="17">
        <v>62000</v>
      </c>
      <c r="H40" s="17">
        <f>'CLEANED DATA'!$C40-'CLEANED DATA'!$D40</f>
        <v>660000</v>
      </c>
      <c r="I40" s="17">
        <f>'CLEANED DATA'!$E40+'CLEANED DATA'!$F40+'CLEANED DATA'!$G40</f>
        <v>332000</v>
      </c>
      <c r="J40" s="17">
        <f>'CLEANED DATA'!$C40-('CLEANED DATA'!$D40+'CLEANED DATA'!$I40)</f>
        <v>328000</v>
      </c>
      <c r="K40" s="18">
        <f>'CLEANED DATA'!$J40/'CLEANED DATA'!$C40</f>
        <v>0.20246913580246914</v>
      </c>
      <c r="L40" s="19">
        <f>('CLEANED DATA'!$C40-C39)/C39</f>
        <v>0.11724137931034483</v>
      </c>
    </row>
    <row r="41" spans="1:12" s="39" customFormat="1" ht="26" customHeight="1" outlineLevel="1" x14ac:dyDescent="0.35">
      <c r="A41" s="34" t="s">
        <v>33</v>
      </c>
      <c r="B41" s="35"/>
      <c r="C41" s="36">
        <f t="shared" ref="C41:J41" si="2">SUBTOTAL(9,C29:C40)</f>
        <v>15000000</v>
      </c>
      <c r="D41" s="36">
        <f t="shared" si="2"/>
        <v>8990000</v>
      </c>
      <c r="E41" s="36">
        <f t="shared" si="2"/>
        <v>1940000</v>
      </c>
      <c r="F41" s="36">
        <f t="shared" si="2"/>
        <v>763000</v>
      </c>
      <c r="G41" s="36">
        <f t="shared" si="2"/>
        <v>548000</v>
      </c>
      <c r="H41" s="36">
        <f t="shared" si="2"/>
        <v>6010000</v>
      </c>
      <c r="I41" s="36">
        <f t="shared" si="2"/>
        <v>3251000</v>
      </c>
      <c r="J41" s="36">
        <f t="shared" si="2"/>
        <v>2759000</v>
      </c>
      <c r="K41" s="37"/>
      <c r="L41" s="38"/>
    </row>
    <row r="42" spans="1:12" outlineLevel="2" x14ac:dyDescent="0.35">
      <c r="A42" s="10">
        <v>2024</v>
      </c>
      <c r="B42" s="11" t="s">
        <v>0</v>
      </c>
      <c r="C42" s="12">
        <v>1180000</v>
      </c>
      <c r="D42" s="12">
        <v>710000</v>
      </c>
      <c r="E42" s="12">
        <v>155000</v>
      </c>
      <c r="F42" s="12">
        <v>56000</v>
      </c>
      <c r="G42" s="12">
        <v>40000</v>
      </c>
      <c r="H42" s="12">
        <f>'CLEANED DATA'!$C42-'CLEANED DATA'!$D42</f>
        <v>470000</v>
      </c>
      <c r="I42" s="12">
        <f>'CLEANED DATA'!$E42+'CLEANED DATA'!$F42+'CLEANED DATA'!$G42</f>
        <v>251000</v>
      </c>
      <c r="J42" s="12">
        <f>'CLEANED DATA'!$C42-('CLEANED DATA'!$D42+'CLEANED DATA'!$I42)</f>
        <v>219000</v>
      </c>
      <c r="K42" s="13">
        <f>'CLEANED DATA'!$J42/'CLEANED DATA'!$C42</f>
        <v>0.18559322033898304</v>
      </c>
      <c r="L42" s="20">
        <f>('CLEANED DATA'!$C42-C40)/C40</f>
        <v>-0.27160493827160492</v>
      </c>
    </row>
    <row r="43" spans="1:12" outlineLevel="2" x14ac:dyDescent="0.35">
      <c r="A43" s="15">
        <v>2024</v>
      </c>
      <c r="B43" s="16" t="s">
        <v>1</v>
      </c>
      <c r="C43" s="17">
        <v>1150000</v>
      </c>
      <c r="D43" s="17">
        <v>700000</v>
      </c>
      <c r="E43" s="17">
        <v>152000</v>
      </c>
      <c r="F43" s="17">
        <v>54000</v>
      </c>
      <c r="G43" s="17">
        <v>38000</v>
      </c>
      <c r="H43" s="17">
        <f>'CLEANED DATA'!$C43-'CLEANED DATA'!$D43</f>
        <v>450000</v>
      </c>
      <c r="I43" s="17">
        <f>'CLEANED DATA'!$E43+'CLEANED DATA'!$F43+'CLEANED DATA'!$G43</f>
        <v>244000</v>
      </c>
      <c r="J43" s="17">
        <f>'CLEANED DATA'!$C43-('CLEANED DATA'!$D43+'CLEANED DATA'!$I43)</f>
        <v>206000</v>
      </c>
      <c r="K43" s="18">
        <f>'CLEANED DATA'!$J43/'CLEANED DATA'!$C43</f>
        <v>0.17913043478260871</v>
      </c>
      <c r="L43" s="19">
        <f>('CLEANED DATA'!$C43-C42)/C42</f>
        <v>-2.5423728813559324E-2</v>
      </c>
    </row>
    <row r="44" spans="1:12" outlineLevel="2" x14ac:dyDescent="0.35">
      <c r="A44" s="10">
        <v>2024</v>
      </c>
      <c r="B44" s="11" t="s">
        <v>2</v>
      </c>
      <c r="C44" s="12">
        <v>1230000</v>
      </c>
      <c r="D44" s="12">
        <v>740000</v>
      </c>
      <c r="E44" s="12">
        <v>158000</v>
      </c>
      <c r="F44" s="12">
        <v>58000</v>
      </c>
      <c r="G44" s="12">
        <v>42000</v>
      </c>
      <c r="H44" s="12">
        <f>'CLEANED DATA'!$C44-'CLEANED DATA'!$D44</f>
        <v>490000</v>
      </c>
      <c r="I44" s="12">
        <f>'CLEANED DATA'!$E44+'CLEANED DATA'!$F44+'CLEANED DATA'!$G44</f>
        <v>258000</v>
      </c>
      <c r="J44" s="12">
        <f>'CLEANED DATA'!$C44-('CLEANED DATA'!$D44+'CLEANED DATA'!$I44)</f>
        <v>232000</v>
      </c>
      <c r="K44" s="13">
        <f>'CLEANED DATA'!$J44/'CLEANED DATA'!$C44</f>
        <v>0.1886178861788618</v>
      </c>
      <c r="L44" s="20">
        <f>('CLEANED DATA'!$C44-C43)/C43</f>
        <v>6.9565217391304349E-2</v>
      </c>
    </row>
    <row r="45" spans="1:12" outlineLevel="2" x14ac:dyDescent="0.35">
      <c r="A45" s="15">
        <v>2024</v>
      </c>
      <c r="B45" s="16" t="s">
        <v>3</v>
      </c>
      <c r="C45" s="17">
        <v>1270000</v>
      </c>
      <c r="D45" s="17">
        <v>760000</v>
      </c>
      <c r="E45" s="17">
        <v>160000</v>
      </c>
      <c r="F45" s="17">
        <v>60000</v>
      </c>
      <c r="G45" s="17">
        <v>44000</v>
      </c>
      <c r="H45" s="17">
        <f>'CLEANED DATA'!$C45-'CLEANED DATA'!$D45</f>
        <v>510000</v>
      </c>
      <c r="I45" s="17">
        <f>'CLEANED DATA'!$E45+'CLEANED DATA'!$F45+'CLEANED DATA'!$G45</f>
        <v>264000</v>
      </c>
      <c r="J45" s="17">
        <f>'CLEANED DATA'!$C45-('CLEANED DATA'!$D45+'CLEANED DATA'!$I45)</f>
        <v>246000</v>
      </c>
      <c r="K45" s="18">
        <f>'CLEANED DATA'!$J45/'CLEANED DATA'!$C45</f>
        <v>0.19370078740157481</v>
      </c>
      <c r="L45" s="19">
        <f>('CLEANED DATA'!$C45-C44)/C44</f>
        <v>3.2520325203252036E-2</v>
      </c>
    </row>
    <row r="46" spans="1:12" outlineLevel="2" x14ac:dyDescent="0.35">
      <c r="A46" s="10">
        <v>2024</v>
      </c>
      <c r="B46" s="11" t="s">
        <v>4</v>
      </c>
      <c r="C46" s="12">
        <v>1320000</v>
      </c>
      <c r="D46" s="12">
        <v>790000</v>
      </c>
      <c r="E46" s="12">
        <v>165000</v>
      </c>
      <c r="F46" s="12">
        <v>63000</v>
      </c>
      <c r="G46" s="12">
        <v>47000</v>
      </c>
      <c r="H46" s="12">
        <f>'CLEANED DATA'!$C46-'CLEANED DATA'!$D46</f>
        <v>530000</v>
      </c>
      <c r="I46" s="12">
        <f>'CLEANED DATA'!$E46+'CLEANED DATA'!$F46+'CLEANED DATA'!$G46</f>
        <v>275000</v>
      </c>
      <c r="J46" s="12">
        <f>'CLEANED DATA'!$C46-('CLEANED DATA'!$D46+'CLEANED DATA'!$I46)</f>
        <v>255000</v>
      </c>
      <c r="K46" s="13">
        <f>'CLEANED DATA'!$J46/'CLEANED DATA'!$C46</f>
        <v>0.19318181818181818</v>
      </c>
      <c r="L46" s="20">
        <f>('CLEANED DATA'!$C46-C45)/C45</f>
        <v>3.937007874015748E-2</v>
      </c>
    </row>
    <row r="47" spans="1:12" outlineLevel="2" x14ac:dyDescent="0.35">
      <c r="A47" s="15">
        <v>2024</v>
      </c>
      <c r="B47" s="16" t="s">
        <v>5</v>
      </c>
      <c r="C47" s="17">
        <v>1360000</v>
      </c>
      <c r="D47" s="17">
        <v>820000</v>
      </c>
      <c r="E47" s="17">
        <v>168000</v>
      </c>
      <c r="F47" s="17">
        <v>66000</v>
      </c>
      <c r="G47" s="17">
        <v>50000</v>
      </c>
      <c r="H47" s="17">
        <f>'CLEANED DATA'!$C47-'CLEANED DATA'!$D47</f>
        <v>540000</v>
      </c>
      <c r="I47" s="17">
        <f>'CLEANED DATA'!$E47+'CLEANED DATA'!$F47+'CLEANED DATA'!$G47</f>
        <v>284000</v>
      </c>
      <c r="J47" s="17">
        <f>'CLEANED DATA'!$C47-('CLEANED DATA'!$D47+'CLEANED DATA'!$I47)</f>
        <v>256000</v>
      </c>
      <c r="K47" s="18">
        <f>'CLEANED DATA'!$J47/'CLEANED DATA'!$C47</f>
        <v>0.18823529411764706</v>
      </c>
      <c r="L47" s="19">
        <f>('CLEANED DATA'!$C47-C46)/C46</f>
        <v>3.0303030303030304E-2</v>
      </c>
    </row>
    <row r="48" spans="1:12" outlineLevel="2" x14ac:dyDescent="0.35">
      <c r="A48" s="10">
        <v>2024</v>
      </c>
      <c r="B48" s="11" t="s">
        <v>6</v>
      </c>
      <c r="C48" s="12">
        <v>1410000</v>
      </c>
      <c r="D48" s="12">
        <v>850000</v>
      </c>
      <c r="E48" s="12">
        <v>170000</v>
      </c>
      <c r="F48" s="12">
        <v>69000</v>
      </c>
      <c r="G48" s="12">
        <v>52000</v>
      </c>
      <c r="H48" s="12">
        <f>'CLEANED DATA'!$C48-'CLEANED DATA'!$D48</f>
        <v>560000</v>
      </c>
      <c r="I48" s="12">
        <f>'CLEANED DATA'!$E48+'CLEANED DATA'!$F48+'CLEANED DATA'!$G48</f>
        <v>291000</v>
      </c>
      <c r="J48" s="12">
        <f>'CLEANED DATA'!$C48-('CLEANED DATA'!$D48+'CLEANED DATA'!$I48)</f>
        <v>269000</v>
      </c>
      <c r="K48" s="13">
        <f>'CLEANED DATA'!$J48/'CLEANED DATA'!$C48</f>
        <v>0.19078014184397163</v>
      </c>
      <c r="L48" s="20">
        <f>('CLEANED DATA'!$C48-C47)/C47</f>
        <v>3.6764705882352942E-2</v>
      </c>
    </row>
    <row r="49" spans="1:12" outlineLevel="2" x14ac:dyDescent="0.35">
      <c r="A49" s="15">
        <v>2024</v>
      </c>
      <c r="B49" s="16" t="s">
        <v>7</v>
      </c>
      <c r="C49" s="17">
        <v>1390000</v>
      </c>
      <c r="D49" s="17">
        <v>840000</v>
      </c>
      <c r="E49" s="17">
        <v>168000</v>
      </c>
      <c r="F49" s="17">
        <v>68000</v>
      </c>
      <c r="G49" s="17">
        <v>51000</v>
      </c>
      <c r="H49" s="17">
        <f>'CLEANED DATA'!$C49-'CLEANED DATA'!$D49</f>
        <v>550000</v>
      </c>
      <c r="I49" s="17">
        <f>'CLEANED DATA'!$E49+'CLEANED DATA'!$F49+'CLEANED DATA'!$G49</f>
        <v>287000</v>
      </c>
      <c r="J49" s="17">
        <f>'CLEANED DATA'!$C49-('CLEANED DATA'!$D49+'CLEANED DATA'!$I49)</f>
        <v>263000</v>
      </c>
      <c r="K49" s="18">
        <f>'CLEANED DATA'!$J49/'CLEANED DATA'!$C49</f>
        <v>0.18920863309352517</v>
      </c>
      <c r="L49" s="19">
        <f>('CLEANED DATA'!$C49-C48)/C48</f>
        <v>-1.4184397163120567E-2</v>
      </c>
    </row>
    <row r="50" spans="1:12" outlineLevel="2" x14ac:dyDescent="0.35">
      <c r="A50" s="10">
        <v>2024</v>
      </c>
      <c r="B50" s="11" t="s">
        <v>8</v>
      </c>
      <c r="C50" s="12">
        <v>1460000</v>
      </c>
      <c r="D50" s="12">
        <v>880000</v>
      </c>
      <c r="E50" s="12">
        <v>172000</v>
      </c>
      <c r="F50" s="12">
        <v>72000</v>
      </c>
      <c r="G50" s="12">
        <v>55000</v>
      </c>
      <c r="H50" s="12">
        <f>'CLEANED DATA'!$C50-'CLEANED DATA'!$D50</f>
        <v>580000</v>
      </c>
      <c r="I50" s="12">
        <f>'CLEANED DATA'!$E50+'CLEANED DATA'!$F50+'CLEANED DATA'!$G50</f>
        <v>299000</v>
      </c>
      <c r="J50" s="12">
        <f>'CLEANED DATA'!$C50-('CLEANED DATA'!$D50+'CLEANED DATA'!$I50)</f>
        <v>281000</v>
      </c>
      <c r="K50" s="13">
        <f>'CLEANED DATA'!$J50/'CLEANED DATA'!$C50</f>
        <v>0.19246575342465752</v>
      </c>
      <c r="L50" s="20">
        <f>('CLEANED DATA'!$C50-C49)/C49</f>
        <v>5.0359712230215826E-2</v>
      </c>
    </row>
    <row r="51" spans="1:12" outlineLevel="2" x14ac:dyDescent="0.35">
      <c r="A51" s="15">
        <v>2024</v>
      </c>
      <c r="B51" s="16" t="s">
        <v>9</v>
      </c>
      <c r="C51" s="17">
        <v>1520000</v>
      </c>
      <c r="D51" s="17">
        <v>920000</v>
      </c>
      <c r="E51" s="17">
        <v>178000</v>
      </c>
      <c r="F51" s="17">
        <v>76000</v>
      </c>
      <c r="G51" s="17">
        <v>58000</v>
      </c>
      <c r="H51" s="17">
        <f>'CLEANED DATA'!$C51-'CLEANED DATA'!$D51</f>
        <v>600000</v>
      </c>
      <c r="I51" s="17">
        <f>'CLEANED DATA'!$E51+'CLEANED DATA'!$F51+'CLEANED DATA'!$G51</f>
        <v>312000</v>
      </c>
      <c r="J51" s="17">
        <f>'CLEANED DATA'!$C51-('CLEANED DATA'!$D51+'CLEANED DATA'!$I51)</f>
        <v>288000</v>
      </c>
      <c r="K51" s="18">
        <f>'CLEANED DATA'!$J51/'CLEANED DATA'!$C51</f>
        <v>0.18947368421052632</v>
      </c>
      <c r="L51" s="19">
        <f>('CLEANED DATA'!$C51-C50)/C50</f>
        <v>4.1095890410958902E-2</v>
      </c>
    </row>
    <row r="52" spans="1:12" outlineLevel="2" x14ac:dyDescent="0.35">
      <c r="A52" s="10">
        <v>2024</v>
      </c>
      <c r="B52" s="11" t="s">
        <v>10</v>
      </c>
      <c r="C52" s="12">
        <v>1600000</v>
      </c>
      <c r="D52" s="12">
        <v>960000</v>
      </c>
      <c r="E52" s="12">
        <v>182000</v>
      </c>
      <c r="F52" s="12">
        <v>80000</v>
      </c>
      <c r="G52" s="12">
        <v>61000</v>
      </c>
      <c r="H52" s="12">
        <f>'CLEANED DATA'!$C52-'CLEANED DATA'!$D52</f>
        <v>640000</v>
      </c>
      <c r="I52" s="12">
        <f>'CLEANED DATA'!$E52+'CLEANED DATA'!$F52+'CLEANED DATA'!$G52</f>
        <v>323000</v>
      </c>
      <c r="J52" s="12">
        <f>'CLEANED DATA'!$C52-('CLEANED DATA'!$D52+'CLEANED DATA'!$I52)</f>
        <v>317000</v>
      </c>
      <c r="K52" s="13">
        <f>'CLEANED DATA'!$J52/'CLEANED DATA'!$C52</f>
        <v>0.198125</v>
      </c>
      <c r="L52" s="20">
        <f>('CLEANED DATA'!$C52-C51)/C51</f>
        <v>5.2631578947368418E-2</v>
      </c>
    </row>
    <row r="53" spans="1:12" outlineLevel="2" x14ac:dyDescent="0.35">
      <c r="A53" s="15">
        <v>2024</v>
      </c>
      <c r="B53" s="16" t="s">
        <v>11</v>
      </c>
      <c r="C53" s="17">
        <v>1780000</v>
      </c>
      <c r="D53" s="17">
        <v>1050000</v>
      </c>
      <c r="E53" s="17">
        <v>190000</v>
      </c>
      <c r="F53" s="17">
        <v>90000</v>
      </c>
      <c r="G53" s="17">
        <v>68000</v>
      </c>
      <c r="H53" s="17">
        <f>'CLEANED DATA'!$C53-'CLEANED DATA'!$D53</f>
        <v>730000</v>
      </c>
      <c r="I53" s="17">
        <f>'CLEANED DATA'!$E53+'CLEANED DATA'!$F53+'CLEANED DATA'!$G53</f>
        <v>348000</v>
      </c>
      <c r="J53" s="17">
        <f>'CLEANED DATA'!$C53-('CLEANED DATA'!$D53+'CLEANED DATA'!$I53)</f>
        <v>382000</v>
      </c>
      <c r="K53" s="18">
        <f>'CLEANED DATA'!$J53/'CLEANED DATA'!$C53</f>
        <v>0.21460674157303372</v>
      </c>
      <c r="L53" s="19">
        <f>('CLEANED DATA'!$C53-C52)/C52</f>
        <v>0.1125</v>
      </c>
    </row>
    <row r="54" spans="1:12" s="39" customFormat="1" ht="22" customHeight="1" outlineLevel="1" x14ac:dyDescent="0.35">
      <c r="A54" s="34" t="s">
        <v>34</v>
      </c>
      <c r="B54" s="35"/>
      <c r="C54" s="36">
        <f t="shared" ref="C54:J54" si="3">SUBTOTAL(9,C42:C53)</f>
        <v>16670000</v>
      </c>
      <c r="D54" s="36">
        <f t="shared" si="3"/>
        <v>10020000</v>
      </c>
      <c r="E54" s="36">
        <f t="shared" si="3"/>
        <v>2018000</v>
      </c>
      <c r="F54" s="36">
        <f t="shared" si="3"/>
        <v>812000</v>
      </c>
      <c r="G54" s="36">
        <f t="shared" si="3"/>
        <v>606000</v>
      </c>
      <c r="H54" s="36">
        <f t="shared" si="3"/>
        <v>6650000</v>
      </c>
      <c r="I54" s="36">
        <f t="shared" si="3"/>
        <v>3436000</v>
      </c>
      <c r="J54" s="36">
        <f t="shared" si="3"/>
        <v>3214000</v>
      </c>
      <c r="K54" s="37"/>
      <c r="L54" s="38"/>
    </row>
    <row r="55" spans="1:12" outlineLevel="2" x14ac:dyDescent="0.35">
      <c r="A55" s="10">
        <v>2025</v>
      </c>
      <c r="B55" s="11" t="s">
        <v>0</v>
      </c>
      <c r="C55" s="12">
        <v>1300000</v>
      </c>
      <c r="D55" s="12">
        <v>780000</v>
      </c>
      <c r="E55" s="12">
        <v>160000</v>
      </c>
      <c r="F55" s="12">
        <v>60000</v>
      </c>
      <c r="G55" s="12">
        <v>44000</v>
      </c>
      <c r="H55" s="12">
        <f>'CLEANED DATA'!$C55-'CLEANED DATA'!$D55</f>
        <v>520000</v>
      </c>
      <c r="I55" s="12">
        <f>'CLEANED DATA'!$E55+'CLEANED DATA'!$F55+'CLEANED DATA'!$G55</f>
        <v>264000</v>
      </c>
      <c r="J55" s="12">
        <f>'CLEANED DATA'!$C55-('CLEANED DATA'!$D55+'CLEANED DATA'!$I55)</f>
        <v>256000</v>
      </c>
      <c r="K55" s="13">
        <f>'CLEANED DATA'!$J55/'CLEANED DATA'!$C55</f>
        <v>0.19692307692307692</v>
      </c>
      <c r="L55" s="20">
        <f>('CLEANED DATA'!$C55-C53)/C53</f>
        <v>-0.2696629213483146</v>
      </c>
    </row>
    <row r="56" spans="1:12" outlineLevel="2" x14ac:dyDescent="0.35">
      <c r="A56" s="15">
        <v>2025</v>
      </c>
      <c r="B56" s="16" t="s">
        <v>1</v>
      </c>
      <c r="C56" s="17">
        <v>1280000</v>
      </c>
      <c r="D56" s="17">
        <v>770000</v>
      </c>
      <c r="E56" s="17">
        <v>158000</v>
      </c>
      <c r="F56" s="17">
        <v>58000</v>
      </c>
      <c r="G56" s="17">
        <v>42000</v>
      </c>
      <c r="H56" s="17">
        <f>'CLEANED DATA'!$C56-'CLEANED DATA'!$D56</f>
        <v>510000</v>
      </c>
      <c r="I56" s="17">
        <f>'CLEANED DATA'!$E56+'CLEANED DATA'!$F56+'CLEANED DATA'!$G56</f>
        <v>258000</v>
      </c>
      <c r="J56" s="17">
        <f>'CLEANED DATA'!$C56-('CLEANED DATA'!$D56+'CLEANED DATA'!$I56)</f>
        <v>252000</v>
      </c>
      <c r="K56" s="18">
        <f>'CLEANED DATA'!$J56/'CLEANED DATA'!$C56</f>
        <v>0.19687499999999999</v>
      </c>
      <c r="L56" s="19">
        <f>('CLEANED DATA'!$C56-C55)/C55</f>
        <v>-1.5384615384615385E-2</v>
      </c>
    </row>
    <row r="57" spans="1:12" outlineLevel="2" x14ac:dyDescent="0.35">
      <c r="A57" s="10">
        <v>2025</v>
      </c>
      <c r="B57" s="11" t="s">
        <v>2</v>
      </c>
      <c r="C57" s="12">
        <v>1350000</v>
      </c>
      <c r="D57" s="12">
        <v>810000</v>
      </c>
      <c r="E57" s="12">
        <v>162000</v>
      </c>
      <c r="F57" s="12">
        <v>62000</v>
      </c>
      <c r="G57" s="12">
        <v>46000</v>
      </c>
      <c r="H57" s="12">
        <f>'CLEANED DATA'!$C57-'CLEANED DATA'!$D57</f>
        <v>540000</v>
      </c>
      <c r="I57" s="12">
        <f>'CLEANED DATA'!$E57+'CLEANED DATA'!$F57+'CLEANED DATA'!$G57</f>
        <v>270000</v>
      </c>
      <c r="J57" s="12">
        <f>'CLEANED DATA'!$C57-('CLEANED DATA'!$D57+'CLEANED DATA'!$I57)</f>
        <v>270000</v>
      </c>
      <c r="K57" s="13">
        <f>'CLEANED DATA'!$J57/'CLEANED DATA'!$C57</f>
        <v>0.2</v>
      </c>
      <c r="L57" s="20">
        <f>('CLEANED DATA'!$C57-C56)/C56</f>
        <v>5.46875E-2</v>
      </c>
    </row>
    <row r="58" spans="1:12" outlineLevel="2" x14ac:dyDescent="0.35">
      <c r="A58" s="15">
        <v>2025</v>
      </c>
      <c r="B58" s="16" t="s">
        <v>3</v>
      </c>
      <c r="C58" s="17">
        <v>1400000</v>
      </c>
      <c r="D58" s="17">
        <v>840000</v>
      </c>
      <c r="E58" s="17">
        <v>165000</v>
      </c>
      <c r="F58" s="17">
        <v>65000</v>
      </c>
      <c r="G58" s="17">
        <v>48000</v>
      </c>
      <c r="H58" s="17">
        <f>'CLEANED DATA'!$C58-'CLEANED DATA'!$D58</f>
        <v>560000</v>
      </c>
      <c r="I58" s="17">
        <f>'CLEANED DATA'!$E58+'CLEANED DATA'!$F58+'CLEANED DATA'!$G58</f>
        <v>278000</v>
      </c>
      <c r="J58" s="17">
        <f>'CLEANED DATA'!$C58-('CLEANED DATA'!$D58+'CLEANED DATA'!$I58)</f>
        <v>282000</v>
      </c>
      <c r="K58" s="18">
        <f>'CLEANED DATA'!$J58/'CLEANED DATA'!$C58</f>
        <v>0.20142857142857143</v>
      </c>
      <c r="L58" s="19">
        <f>('CLEANED DATA'!$C58-C57)/C57</f>
        <v>3.7037037037037035E-2</v>
      </c>
    </row>
    <row r="59" spans="1:12" outlineLevel="2" x14ac:dyDescent="0.35">
      <c r="A59" s="10">
        <v>2025</v>
      </c>
      <c r="B59" s="11" t="s">
        <v>4</v>
      </c>
      <c r="C59" s="12">
        <v>1450000</v>
      </c>
      <c r="D59" s="12">
        <v>870000</v>
      </c>
      <c r="E59" s="12">
        <v>168000</v>
      </c>
      <c r="F59" s="12">
        <v>68000</v>
      </c>
      <c r="G59" s="12">
        <v>51000</v>
      </c>
      <c r="H59" s="12">
        <f>'CLEANED DATA'!$C59-'CLEANED DATA'!$D59</f>
        <v>580000</v>
      </c>
      <c r="I59" s="12">
        <f>'CLEANED DATA'!$E59+'CLEANED DATA'!$F59+'CLEANED DATA'!$G59</f>
        <v>287000</v>
      </c>
      <c r="J59" s="12">
        <f>'CLEANED DATA'!$C59-('CLEANED DATA'!$D59+'CLEANED DATA'!$I59)</f>
        <v>293000</v>
      </c>
      <c r="K59" s="13">
        <f>'CLEANED DATA'!$J59/'CLEANED DATA'!$C59</f>
        <v>0.20206896551724138</v>
      </c>
      <c r="L59" s="20">
        <f>('CLEANED DATA'!$C59-C58)/C58</f>
        <v>3.5714285714285712E-2</v>
      </c>
    </row>
    <row r="60" spans="1:12" outlineLevel="2" x14ac:dyDescent="0.35">
      <c r="A60" s="15">
        <v>2025</v>
      </c>
      <c r="B60" s="16" t="s">
        <v>5</v>
      </c>
      <c r="C60" s="17">
        <v>1600000</v>
      </c>
      <c r="D60" s="17">
        <v>900000</v>
      </c>
      <c r="E60" s="17">
        <v>150000</v>
      </c>
      <c r="F60" s="17">
        <v>71000</v>
      </c>
      <c r="G60" s="17">
        <v>54000</v>
      </c>
      <c r="H60" s="17">
        <f>'CLEANED DATA'!$C60-'CLEANED DATA'!$D60</f>
        <v>700000</v>
      </c>
      <c r="I60" s="17">
        <f>'CLEANED DATA'!$E60+'CLEANED DATA'!$F60+'CLEANED DATA'!$G60</f>
        <v>275000</v>
      </c>
      <c r="J60" s="17">
        <f>'CLEANED DATA'!$C60-('CLEANED DATA'!$D60+'CLEANED DATA'!$I60)</f>
        <v>425000</v>
      </c>
      <c r="K60" s="18">
        <f>'CLEANED DATA'!$J60/'CLEANED DATA'!$C60</f>
        <v>0.265625</v>
      </c>
      <c r="L60" s="19">
        <f>('CLEANED DATA'!$C60-C59)/C59</f>
        <v>0.10344827586206896</v>
      </c>
    </row>
    <row r="61" spans="1:12" outlineLevel="2" x14ac:dyDescent="0.35">
      <c r="A61" s="10">
        <v>2025</v>
      </c>
      <c r="B61" s="11" t="s">
        <v>6</v>
      </c>
      <c r="C61" s="12">
        <v>980000</v>
      </c>
      <c r="D61" s="12">
        <v>590000</v>
      </c>
      <c r="E61" s="12">
        <v>152000</v>
      </c>
      <c r="F61" s="12">
        <v>52000</v>
      </c>
      <c r="G61" s="12">
        <v>35000</v>
      </c>
      <c r="H61" s="12">
        <f>'CLEANED DATA'!$C61-'CLEANED DATA'!$D61</f>
        <v>390000</v>
      </c>
      <c r="I61" s="12">
        <f>'CLEANED DATA'!$E61+'CLEANED DATA'!$F61+'CLEANED DATA'!$G61</f>
        <v>239000</v>
      </c>
      <c r="J61" s="12">
        <f>'CLEANED DATA'!$C61-('CLEANED DATA'!$D61+'CLEANED DATA'!$I61)</f>
        <v>151000</v>
      </c>
      <c r="K61" s="13">
        <f>'CLEANED DATA'!$J61/'CLEANED DATA'!$C61</f>
        <v>0.15408163265306121</v>
      </c>
      <c r="L61" s="20">
        <f>('CLEANED DATA'!$C61-C60)/C60</f>
        <v>-0.38750000000000001</v>
      </c>
    </row>
    <row r="62" spans="1:12" outlineLevel="2" x14ac:dyDescent="0.35">
      <c r="A62" s="15">
        <v>2025</v>
      </c>
      <c r="B62" s="16" t="s">
        <v>7</v>
      </c>
      <c r="C62" s="17">
        <v>960000</v>
      </c>
      <c r="D62" s="17">
        <v>580000</v>
      </c>
      <c r="E62" s="17">
        <v>150000</v>
      </c>
      <c r="F62" s="17">
        <v>51000</v>
      </c>
      <c r="G62" s="17">
        <v>34000</v>
      </c>
      <c r="H62" s="17">
        <f>'CLEANED DATA'!$C62-'CLEANED DATA'!$D62</f>
        <v>380000</v>
      </c>
      <c r="I62" s="17">
        <f>'CLEANED DATA'!$E62+'CLEANED DATA'!$F62+'CLEANED DATA'!$G62</f>
        <v>235000</v>
      </c>
      <c r="J62" s="17">
        <f>'CLEANED DATA'!$C62-('CLEANED DATA'!$D62+'CLEANED DATA'!$I62)</f>
        <v>145000</v>
      </c>
      <c r="K62" s="18">
        <f>'CLEANED DATA'!$J62/'CLEANED DATA'!$C62</f>
        <v>0.15104166666666666</v>
      </c>
      <c r="L62" s="19">
        <f>('CLEANED DATA'!$C62-C61)/C61</f>
        <v>-2.0408163265306121E-2</v>
      </c>
    </row>
    <row r="63" spans="1:12" outlineLevel="2" x14ac:dyDescent="0.35">
      <c r="A63" s="10">
        <v>2025</v>
      </c>
      <c r="B63" s="11" t="s">
        <v>8</v>
      </c>
      <c r="C63" s="12">
        <v>1020000</v>
      </c>
      <c r="D63" s="12">
        <v>610000</v>
      </c>
      <c r="E63" s="12">
        <v>155000</v>
      </c>
      <c r="F63" s="12">
        <v>54000</v>
      </c>
      <c r="G63" s="12">
        <v>36000</v>
      </c>
      <c r="H63" s="12">
        <f>'CLEANED DATA'!$C63-'CLEANED DATA'!$D63</f>
        <v>410000</v>
      </c>
      <c r="I63" s="12">
        <f>'CLEANED DATA'!$E63+'CLEANED DATA'!$F63+'CLEANED DATA'!$G63</f>
        <v>245000</v>
      </c>
      <c r="J63" s="12">
        <f>'CLEANED DATA'!$C63-('CLEANED DATA'!$D63+'CLEANED DATA'!$I63)</f>
        <v>165000</v>
      </c>
      <c r="K63" s="13">
        <f>'CLEANED DATA'!$J63/'CLEANED DATA'!$C63</f>
        <v>0.16176470588235295</v>
      </c>
      <c r="L63" s="20">
        <f>('CLEANED DATA'!$C63-C62)/C62</f>
        <v>6.25E-2</v>
      </c>
    </row>
    <row r="64" spans="1:12" outlineLevel="2" x14ac:dyDescent="0.35">
      <c r="A64" s="15">
        <v>2025</v>
      </c>
      <c r="B64" s="16" t="s">
        <v>9</v>
      </c>
      <c r="C64" s="17">
        <v>1520000</v>
      </c>
      <c r="D64" s="17">
        <v>920000</v>
      </c>
      <c r="E64" s="17">
        <v>178000</v>
      </c>
      <c r="F64" s="17">
        <v>76000</v>
      </c>
      <c r="G64" s="17">
        <v>58000</v>
      </c>
      <c r="H64" s="17">
        <f>'CLEANED DATA'!$C64-'CLEANED DATA'!$D64</f>
        <v>600000</v>
      </c>
      <c r="I64" s="17">
        <f>'CLEANED DATA'!$E64+'CLEANED DATA'!$F64+'CLEANED DATA'!$G64</f>
        <v>312000</v>
      </c>
      <c r="J64" s="17">
        <f>'CLEANED DATA'!$C64-('CLEANED DATA'!$D64+'CLEANED DATA'!$I64)</f>
        <v>288000</v>
      </c>
      <c r="K64" s="18">
        <f>'CLEANED DATA'!$J64/'CLEANED DATA'!$C64</f>
        <v>0.18947368421052632</v>
      </c>
      <c r="L64" s="19">
        <f>('CLEANED DATA'!$C64-C63)/C63</f>
        <v>0.49019607843137253</v>
      </c>
    </row>
    <row r="65" spans="1:12" outlineLevel="2" x14ac:dyDescent="0.35">
      <c r="A65" s="10">
        <v>2025</v>
      </c>
      <c r="B65" s="11" t="s">
        <v>10</v>
      </c>
      <c r="C65" s="12">
        <v>1600000</v>
      </c>
      <c r="D65" s="12">
        <v>960000</v>
      </c>
      <c r="E65" s="12">
        <v>182000</v>
      </c>
      <c r="F65" s="12">
        <v>80000</v>
      </c>
      <c r="G65" s="12">
        <v>61000</v>
      </c>
      <c r="H65" s="12">
        <f>'CLEANED DATA'!$C65-'CLEANED DATA'!$D65</f>
        <v>640000</v>
      </c>
      <c r="I65" s="12">
        <f>'CLEANED DATA'!$E65+'CLEANED DATA'!$F65+'CLEANED DATA'!$G65</f>
        <v>323000</v>
      </c>
      <c r="J65" s="12">
        <f>'CLEANED DATA'!$C65-('CLEANED DATA'!$D65+'CLEANED DATA'!$I65)</f>
        <v>317000</v>
      </c>
      <c r="K65" s="13">
        <f>'CLEANED DATA'!$J65/'CLEANED DATA'!$C65</f>
        <v>0.198125</v>
      </c>
      <c r="L65" s="20">
        <f>('CLEANED DATA'!$C65-C64)/C64</f>
        <v>5.2631578947368418E-2</v>
      </c>
    </row>
    <row r="66" spans="1:12" outlineLevel="2" x14ac:dyDescent="0.35">
      <c r="A66" s="21">
        <v>2025</v>
      </c>
      <c r="B66" s="22" t="s">
        <v>11</v>
      </c>
      <c r="C66" s="23">
        <v>1740000</v>
      </c>
      <c r="D66" s="23">
        <v>1090000</v>
      </c>
      <c r="E66" s="23">
        <v>190000</v>
      </c>
      <c r="F66" s="23">
        <v>95000</v>
      </c>
      <c r="G66" s="23">
        <v>70000</v>
      </c>
      <c r="H66" s="23">
        <f>'CLEANED DATA'!$C66-'CLEANED DATA'!$D66</f>
        <v>650000</v>
      </c>
      <c r="I66" s="23">
        <f>'CLEANED DATA'!$E66+'CLEANED DATA'!$F66+'CLEANED DATA'!$G66</f>
        <v>355000</v>
      </c>
      <c r="J66" s="23">
        <f>'CLEANED DATA'!$C66-('CLEANED DATA'!$D66+'CLEANED DATA'!$I66)</f>
        <v>295000</v>
      </c>
      <c r="K66" s="24">
        <f>'CLEANED DATA'!$J66/'CLEANED DATA'!$C66</f>
        <v>0.16954022988505746</v>
      </c>
      <c r="L66" s="25">
        <f>('CLEANED DATA'!$C66-C65)/C65</f>
        <v>8.7499999999999994E-2</v>
      </c>
    </row>
    <row r="67" spans="1:12" s="33" customFormat="1" ht="22" customHeight="1" outlineLevel="1" x14ac:dyDescent="0.35">
      <c r="A67" s="28" t="s">
        <v>35</v>
      </c>
      <c r="B67" s="28"/>
      <c r="C67" s="29">
        <f t="shared" ref="C67:J67" si="4">SUBTOTAL(9,C55:C66)</f>
        <v>16200000</v>
      </c>
      <c r="D67" s="29">
        <f t="shared" si="4"/>
        <v>9720000</v>
      </c>
      <c r="E67" s="29">
        <f t="shared" si="4"/>
        <v>1970000</v>
      </c>
      <c r="F67" s="29">
        <f t="shared" si="4"/>
        <v>792000</v>
      </c>
      <c r="G67" s="29">
        <f t="shared" si="4"/>
        <v>579000</v>
      </c>
      <c r="H67" s="29">
        <f t="shared" si="4"/>
        <v>6480000</v>
      </c>
      <c r="I67" s="29">
        <f t="shared" si="4"/>
        <v>3341000</v>
      </c>
      <c r="J67" s="29">
        <f t="shared" si="4"/>
        <v>3139000</v>
      </c>
      <c r="K67" s="30"/>
      <c r="L67" s="31"/>
    </row>
    <row r="68" spans="1:12" x14ac:dyDescent="0.35">
      <c r="A68" s="41" t="s">
        <v>24</v>
      </c>
      <c r="B68" s="41"/>
      <c r="C68" s="42">
        <f t="shared" ref="C68:J68" si="5">SUBTOTAL(9,C3:C66)</f>
        <v>73130000</v>
      </c>
      <c r="D68" s="42">
        <f t="shared" si="5"/>
        <v>43915000</v>
      </c>
      <c r="E68" s="42">
        <f t="shared" si="5"/>
        <v>9646000</v>
      </c>
      <c r="F68" s="42">
        <f t="shared" si="5"/>
        <v>3700000</v>
      </c>
      <c r="G68" s="42">
        <f t="shared" si="5"/>
        <v>2634500</v>
      </c>
      <c r="H68" s="42">
        <f t="shared" si="5"/>
        <v>29215000</v>
      </c>
      <c r="I68" s="42">
        <f t="shared" si="5"/>
        <v>15980500</v>
      </c>
      <c r="J68" s="42">
        <f t="shared" si="5"/>
        <v>13234500</v>
      </c>
      <c r="K68" s="26"/>
      <c r="L68" s="27"/>
    </row>
  </sheetData>
  <mergeCells count="1">
    <mergeCell ref="A1:L1"/>
  </mergeCells>
  <conditionalFormatting sqref="K3:K14 K16:K27 K29:K40 K42:K53 K55:K66">
    <cfRule type="cellIs" dxfId="1" priority="1" operator="lessThan">
      <formula>0.15</formula>
    </cfRule>
    <cfRule type="cellIs" dxfId="0" priority="2" operator="greaterThan">
      <formula>0.2</formula>
    </cfRule>
  </conditionalFormatting>
  <conditionalFormatting sqref="K3:K14 K55:K66 K16:K27 K29:K40 K42:K53">
    <cfRule type="colorScale" priority="3">
      <colorScale>
        <cfvo type="num" val="&quot;&lt;10&quot;"/>
        <cfvo type="num" val="&quot;&gt;20&quot;"/>
        <color rgb="FFFF3300"/>
        <color theme="9" tint="-0.249977111117893"/>
      </colorScale>
    </cfRule>
  </conditionalFormatting>
  <pageMargins left="0.7" right="0.7" top="0.75" bottom="0.75" header="0.3" footer="0.3"/>
  <pageSetup paperSize="9" orientation="portrait" r:id="rId1"/>
  <rowBreaks count="5" manualBreakCount="5">
    <brk id="15" max="16383" man="1"/>
    <brk id="28" max="16383" man="1"/>
    <brk id="41" max="16383" man="1"/>
    <brk id="54" max="16383" man="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CB18-F842-49D0-996B-DCF900A4254C}">
  <dimension ref="A1:M62"/>
  <sheetViews>
    <sheetView showRowColHeaders="0" workbookViewId="0">
      <selection activeCell="I6" sqref="I6"/>
    </sheetView>
  </sheetViews>
  <sheetFormatPr defaultRowHeight="14.5" x14ac:dyDescent="0.35"/>
  <cols>
    <col min="4" max="4" width="16.81640625" bestFit="1" customWidth="1"/>
    <col min="5" max="5" width="18" bestFit="1" customWidth="1"/>
    <col min="6" max="6" width="18.1796875" bestFit="1" customWidth="1"/>
    <col min="7" max="7" width="18.26953125" bestFit="1" customWidth="1"/>
  </cols>
  <sheetData>
    <row r="1" spans="1:13" ht="30" x14ac:dyDescent="0.6">
      <c r="A1" s="2" t="s">
        <v>15</v>
      </c>
    </row>
    <row r="2" spans="1:13" x14ac:dyDescent="0.35">
      <c r="A2" s="1" t="s">
        <v>12</v>
      </c>
      <c r="B2" s="1" t="s">
        <v>13</v>
      </c>
      <c r="C2" s="1" t="s">
        <v>14</v>
      </c>
      <c r="D2" s="1" t="s">
        <v>16</v>
      </c>
      <c r="E2" s="1" t="s">
        <v>17</v>
      </c>
      <c r="F2" s="1" t="s">
        <v>18</v>
      </c>
      <c r="G2" s="1" t="s">
        <v>19</v>
      </c>
      <c r="H2" s="1"/>
      <c r="I2" s="1"/>
      <c r="J2" s="1"/>
      <c r="K2" s="1"/>
      <c r="L2" s="1"/>
      <c r="M2" s="1"/>
    </row>
    <row r="3" spans="1:13" x14ac:dyDescent="0.35">
      <c r="A3" s="1">
        <v>2021</v>
      </c>
      <c r="B3" s="1" t="s">
        <v>0</v>
      </c>
      <c r="C3" s="1">
        <v>850000</v>
      </c>
      <c r="D3" s="1">
        <v>510000</v>
      </c>
      <c r="E3" s="1">
        <v>140000</v>
      </c>
      <c r="F3" s="1">
        <v>45000</v>
      </c>
      <c r="G3" s="1">
        <v>30000</v>
      </c>
    </row>
    <row r="4" spans="1:13" x14ac:dyDescent="0.35">
      <c r="A4" s="1">
        <v>2021</v>
      </c>
      <c r="B4" s="1" t="s">
        <v>1</v>
      </c>
      <c r="C4" s="1">
        <v>820000</v>
      </c>
      <c r="D4" s="1">
        <v>500000</v>
      </c>
      <c r="E4" s="1">
        <v>138000</v>
      </c>
      <c r="F4" s="1">
        <v>42000</v>
      </c>
      <c r="G4" s="1">
        <v>28000</v>
      </c>
    </row>
    <row r="5" spans="1:13" x14ac:dyDescent="0.35">
      <c r="A5" s="1">
        <v>2021</v>
      </c>
      <c r="B5" s="1" t="s">
        <v>2</v>
      </c>
      <c r="C5" s="1">
        <v>900000</v>
      </c>
      <c r="D5" s="1">
        <v>540000</v>
      </c>
      <c r="E5" s="1">
        <v>145000</v>
      </c>
      <c r="F5" s="1">
        <v>47000</v>
      </c>
      <c r="G5" s="1">
        <v>31000</v>
      </c>
    </row>
    <row r="6" spans="1:13" x14ac:dyDescent="0.35">
      <c r="A6" s="1">
        <v>2021</v>
      </c>
      <c r="B6" s="1" t="s">
        <v>3</v>
      </c>
      <c r="C6" s="1">
        <v>870000</v>
      </c>
      <c r="D6" s="1">
        <v>525000</v>
      </c>
      <c r="E6" s="1">
        <v>142000</v>
      </c>
      <c r="F6" s="1">
        <v>46000</v>
      </c>
      <c r="G6" s="1">
        <v>29500</v>
      </c>
    </row>
    <row r="7" spans="1:13" x14ac:dyDescent="0.35">
      <c r="A7" s="1">
        <v>2021</v>
      </c>
      <c r="B7" s="1" t="s">
        <v>4</v>
      </c>
      <c r="C7" s="1">
        <v>920000</v>
      </c>
      <c r="D7" s="1">
        <v>550000</v>
      </c>
      <c r="E7" s="1">
        <v>148000</v>
      </c>
      <c r="F7" s="1">
        <v>48000</v>
      </c>
      <c r="G7" s="1">
        <v>32000</v>
      </c>
    </row>
    <row r="8" spans="1:13" x14ac:dyDescent="0.35">
      <c r="A8" s="1">
        <v>2021</v>
      </c>
      <c r="B8" s="1" t="s">
        <v>5</v>
      </c>
      <c r="C8" s="1">
        <v>950000</v>
      </c>
      <c r="D8" s="1">
        <v>570000</v>
      </c>
      <c r="E8" s="1">
        <v>150000</v>
      </c>
      <c r="F8" s="1">
        <v>50000</v>
      </c>
      <c r="G8" s="1">
        <v>33000</v>
      </c>
    </row>
    <row r="9" spans="1:13" x14ac:dyDescent="0.35">
      <c r="A9" s="1">
        <v>2021</v>
      </c>
      <c r="B9" s="1" t="s">
        <v>6</v>
      </c>
      <c r="C9" s="1">
        <v>980000</v>
      </c>
      <c r="D9" s="1">
        <v>590000</v>
      </c>
      <c r="E9" s="1">
        <v>152000</v>
      </c>
      <c r="F9" s="1">
        <v>52000</v>
      </c>
      <c r="G9" s="1">
        <v>35000</v>
      </c>
    </row>
    <row r="10" spans="1:13" x14ac:dyDescent="0.35">
      <c r="A10" s="1">
        <v>2021</v>
      </c>
      <c r="B10" s="1" t="s">
        <v>7</v>
      </c>
      <c r="C10" s="1">
        <v>960000</v>
      </c>
      <c r="D10" s="1">
        <v>580000</v>
      </c>
      <c r="E10" s="1">
        <v>150000</v>
      </c>
      <c r="F10" s="1">
        <v>51000</v>
      </c>
      <c r="G10" s="1">
        <v>34000</v>
      </c>
    </row>
    <row r="11" spans="1:13" x14ac:dyDescent="0.35">
      <c r="A11" s="1">
        <v>2021</v>
      </c>
      <c r="B11" s="1" t="s">
        <v>8</v>
      </c>
      <c r="C11" s="1">
        <v>1020000</v>
      </c>
      <c r="D11" s="1">
        <v>610000</v>
      </c>
      <c r="E11" s="1">
        <v>155000</v>
      </c>
      <c r="F11" s="1">
        <v>54000</v>
      </c>
      <c r="G11" s="1">
        <v>36000</v>
      </c>
    </row>
    <row r="12" spans="1:13" x14ac:dyDescent="0.35">
      <c r="A12" s="1">
        <v>2021</v>
      </c>
      <c r="B12" s="1" t="s">
        <v>9</v>
      </c>
      <c r="C12" s="1">
        <v>1080000</v>
      </c>
      <c r="D12" s="1">
        <v>650000</v>
      </c>
      <c r="E12" s="1">
        <v>160000</v>
      </c>
      <c r="F12" s="1">
        <v>58000</v>
      </c>
      <c r="G12" s="1">
        <v>38000</v>
      </c>
    </row>
    <row r="13" spans="1:13" x14ac:dyDescent="0.35">
      <c r="A13" s="1">
        <v>2021</v>
      </c>
      <c r="B13" s="1" t="s">
        <v>10</v>
      </c>
      <c r="C13" s="1">
        <v>1150000</v>
      </c>
      <c r="D13" s="1">
        <v>690000</v>
      </c>
      <c r="E13" s="1">
        <v>165000</v>
      </c>
      <c r="F13" s="1">
        <v>62000</v>
      </c>
      <c r="G13" s="1">
        <v>40000</v>
      </c>
    </row>
    <row r="14" spans="1:13" x14ac:dyDescent="0.35">
      <c r="A14" s="1">
        <v>2021</v>
      </c>
      <c r="B14" s="1" t="s">
        <v>11</v>
      </c>
      <c r="C14" s="1">
        <v>1300000</v>
      </c>
      <c r="D14" s="1">
        <v>780000</v>
      </c>
      <c r="E14" s="1">
        <v>175000</v>
      </c>
      <c r="F14" s="1">
        <v>70000</v>
      </c>
      <c r="G14" s="1">
        <v>45000</v>
      </c>
    </row>
    <row r="15" spans="1:13" x14ac:dyDescent="0.35">
      <c r="A15" s="1">
        <v>2022</v>
      </c>
      <c r="B15" s="1" t="s">
        <v>0</v>
      </c>
      <c r="C15" s="1">
        <v>920000</v>
      </c>
      <c r="D15" s="1">
        <v>550000</v>
      </c>
      <c r="E15" s="1">
        <v>145000</v>
      </c>
      <c r="F15" s="1">
        <v>47000</v>
      </c>
      <c r="G15" s="1">
        <v>32000</v>
      </c>
    </row>
    <row r="16" spans="1:13" x14ac:dyDescent="0.35">
      <c r="A16" s="1">
        <v>2022</v>
      </c>
      <c r="B16" s="1" t="s">
        <v>1</v>
      </c>
      <c r="C16" s="1">
        <v>900000</v>
      </c>
      <c r="D16" s="1">
        <v>540000</v>
      </c>
      <c r="E16" s="1">
        <v>142000</v>
      </c>
      <c r="F16" s="1">
        <v>45000</v>
      </c>
      <c r="G16" s="1">
        <v>30000</v>
      </c>
    </row>
    <row r="17" spans="1:7" x14ac:dyDescent="0.35">
      <c r="A17" s="1">
        <v>2022</v>
      </c>
      <c r="B17" s="1" t="s">
        <v>2</v>
      </c>
      <c r="C17" s="1">
        <v>980000</v>
      </c>
      <c r="D17" s="1">
        <v>590000</v>
      </c>
      <c r="E17" s="1">
        <v>148000</v>
      </c>
      <c r="F17" s="1">
        <v>49000</v>
      </c>
      <c r="G17" s="1">
        <v>34000</v>
      </c>
    </row>
    <row r="18" spans="1:7" x14ac:dyDescent="0.35">
      <c r="A18" s="1">
        <v>2022</v>
      </c>
      <c r="B18" s="1" t="s">
        <v>3</v>
      </c>
      <c r="C18" s="1">
        <v>1010000</v>
      </c>
      <c r="D18" s="1">
        <v>610000</v>
      </c>
      <c r="E18" s="1">
        <v>150000</v>
      </c>
      <c r="F18" s="1">
        <v>52000</v>
      </c>
      <c r="G18" s="1">
        <v>36000</v>
      </c>
    </row>
    <row r="19" spans="1:7" x14ac:dyDescent="0.35">
      <c r="A19" s="1">
        <v>2022</v>
      </c>
      <c r="B19" s="1" t="s">
        <v>4</v>
      </c>
      <c r="C19" s="1">
        <v>1060000</v>
      </c>
      <c r="D19" s="1">
        <v>640000</v>
      </c>
      <c r="E19" s="1">
        <v>155000</v>
      </c>
      <c r="F19" s="1">
        <v>55000</v>
      </c>
      <c r="G19" s="1">
        <v>38000</v>
      </c>
    </row>
    <row r="20" spans="1:7" x14ac:dyDescent="0.35">
      <c r="A20" s="1">
        <v>2022</v>
      </c>
      <c r="B20" s="1" t="s">
        <v>5</v>
      </c>
      <c r="C20" s="1">
        <v>1100000</v>
      </c>
      <c r="D20" s="1">
        <v>660000</v>
      </c>
      <c r="E20" s="1">
        <v>158000</v>
      </c>
      <c r="F20" s="1">
        <v>58000</v>
      </c>
      <c r="G20" s="1">
        <v>40000</v>
      </c>
    </row>
    <row r="21" spans="1:7" x14ac:dyDescent="0.35">
      <c r="A21" s="1">
        <v>2022</v>
      </c>
      <c r="B21" s="1" t="s">
        <v>6</v>
      </c>
      <c r="C21" s="1">
        <v>1140000</v>
      </c>
      <c r="D21" s="1">
        <v>690000</v>
      </c>
      <c r="E21" s="1">
        <v>160000</v>
      </c>
      <c r="F21" s="1">
        <v>60000</v>
      </c>
      <c r="G21" s="1">
        <v>42000</v>
      </c>
    </row>
    <row r="22" spans="1:7" x14ac:dyDescent="0.35">
      <c r="A22" s="1">
        <v>2022</v>
      </c>
      <c r="B22" s="1" t="s">
        <v>7</v>
      </c>
      <c r="C22" s="1">
        <v>1120000</v>
      </c>
      <c r="D22" s="1">
        <v>680000</v>
      </c>
      <c r="E22" s="1">
        <v>158000</v>
      </c>
      <c r="F22" s="1">
        <v>59000</v>
      </c>
      <c r="G22" s="1">
        <v>41000</v>
      </c>
    </row>
    <row r="23" spans="1:7" x14ac:dyDescent="0.35">
      <c r="A23" s="1">
        <v>2022</v>
      </c>
      <c r="B23" s="1" t="s">
        <v>8</v>
      </c>
      <c r="C23" s="1">
        <v>1180000</v>
      </c>
      <c r="D23" s="1">
        <v>710000</v>
      </c>
      <c r="E23" s="1">
        <v>162000</v>
      </c>
      <c r="F23" s="1">
        <v>63000</v>
      </c>
      <c r="G23" s="1">
        <v>44000</v>
      </c>
    </row>
    <row r="24" spans="1:7" x14ac:dyDescent="0.35">
      <c r="A24" s="1">
        <v>2022</v>
      </c>
      <c r="B24" s="1" t="s">
        <v>9</v>
      </c>
      <c r="C24" s="1">
        <v>1250000</v>
      </c>
      <c r="D24" s="1">
        <v>750000</v>
      </c>
      <c r="E24" s="1">
        <v>168000</v>
      </c>
      <c r="F24" s="1">
        <v>68000</v>
      </c>
      <c r="G24" s="1">
        <v>47000</v>
      </c>
    </row>
    <row r="25" spans="1:7" x14ac:dyDescent="0.35">
      <c r="A25" s="1">
        <v>2022</v>
      </c>
      <c r="B25" s="1" t="s">
        <v>10</v>
      </c>
      <c r="C25" s="1">
        <v>1320000</v>
      </c>
      <c r="D25" s="1">
        <v>790000</v>
      </c>
      <c r="E25" s="1">
        <v>172000</v>
      </c>
      <c r="F25" s="1">
        <v>72000</v>
      </c>
      <c r="G25" s="1">
        <v>50000</v>
      </c>
    </row>
    <row r="26" spans="1:7" x14ac:dyDescent="0.35">
      <c r="A26" s="1">
        <v>2022</v>
      </c>
      <c r="B26" s="1" t="s">
        <v>11</v>
      </c>
      <c r="C26" s="1">
        <v>1480000</v>
      </c>
      <c r="D26" s="1">
        <v>880000</v>
      </c>
      <c r="E26" s="1">
        <v>180000</v>
      </c>
      <c r="F26" s="1">
        <v>80000</v>
      </c>
      <c r="G26" s="1">
        <v>56000</v>
      </c>
    </row>
    <row r="27" spans="1:7" x14ac:dyDescent="0.35">
      <c r="A27" s="1">
        <v>2023</v>
      </c>
      <c r="B27" s="1" t="s">
        <v>0</v>
      </c>
      <c r="C27" s="1">
        <v>1050000</v>
      </c>
      <c r="D27" s="1">
        <v>630000</v>
      </c>
      <c r="E27" s="1">
        <v>150000</v>
      </c>
      <c r="F27" s="1">
        <v>52000</v>
      </c>
      <c r="G27" s="1">
        <v>36000</v>
      </c>
    </row>
    <row r="28" spans="1:7" x14ac:dyDescent="0.35">
      <c r="A28" s="1">
        <v>2023</v>
      </c>
      <c r="B28" s="1" t="s">
        <v>1</v>
      </c>
      <c r="C28" s="1">
        <v>1020000</v>
      </c>
      <c r="D28" s="1">
        <v>620000</v>
      </c>
      <c r="E28" s="1">
        <v>148000</v>
      </c>
      <c r="F28" s="1">
        <v>50000</v>
      </c>
      <c r="G28" s="1">
        <v>34000</v>
      </c>
    </row>
    <row r="29" spans="1:7" x14ac:dyDescent="0.35">
      <c r="A29" s="1">
        <v>2023</v>
      </c>
      <c r="B29" s="1" t="s">
        <v>2</v>
      </c>
      <c r="C29" s="1">
        <v>1100000</v>
      </c>
      <c r="D29" s="1">
        <v>660000</v>
      </c>
      <c r="E29" s="1">
        <v>152000</v>
      </c>
      <c r="F29" s="1">
        <v>54000</v>
      </c>
      <c r="G29" s="1">
        <v>38000</v>
      </c>
    </row>
    <row r="30" spans="1:7" x14ac:dyDescent="0.35">
      <c r="A30" s="1">
        <v>2023</v>
      </c>
      <c r="B30" s="1" t="s">
        <v>3</v>
      </c>
      <c r="C30" s="1">
        <v>1140000</v>
      </c>
      <c r="D30" s="1">
        <v>680000</v>
      </c>
      <c r="E30" s="1">
        <v>155000</v>
      </c>
      <c r="F30" s="1">
        <v>56000</v>
      </c>
      <c r="G30" s="1">
        <v>40000</v>
      </c>
    </row>
    <row r="31" spans="1:7" x14ac:dyDescent="0.35">
      <c r="A31" s="1">
        <v>2023</v>
      </c>
      <c r="B31" s="1" t="s">
        <v>4</v>
      </c>
      <c r="C31" s="1">
        <v>1180000</v>
      </c>
      <c r="D31" s="1">
        <v>710000</v>
      </c>
      <c r="E31" s="1">
        <v>158000</v>
      </c>
      <c r="F31" s="1">
        <v>59000</v>
      </c>
      <c r="G31" s="1">
        <v>42000</v>
      </c>
    </row>
    <row r="32" spans="1:7" x14ac:dyDescent="0.35">
      <c r="A32" s="1">
        <v>2023</v>
      </c>
      <c r="B32" s="1" t="s">
        <v>5</v>
      </c>
      <c r="C32" s="1">
        <v>1220000</v>
      </c>
      <c r="D32" s="1">
        <v>730000</v>
      </c>
      <c r="E32" s="1">
        <v>160000</v>
      </c>
      <c r="F32" s="1">
        <v>62000</v>
      </c>
      <c r="G32" s="1">
        <v>44000</v>
      </c>
    </row>
    <row r="33" spans="1:7" x14ac:dyDescent="0.35">
      <c r="A33" s="1">
        <v>2023</v>
      </c>
      <c r="B33" s="1" t="s">
        <v>6</v>
      </c>
      <c r="C33" s="1">
        <v>1270000</v>
      </c>
      <c r="D33" s="1">
        <v>760000</v>
      </c>
      <c r="E33" s="1">
        <v>162000</v>
      </c>
      <c r="F33" s="1">
        <v>65000</v>
      </c>
      <c r="G33" s="1">
        <v>47000</v>
      </c>
    </row>
    <row r="34" spans="1:7" x14ac:dyDescent="0.35">
      <c r="A34" s="1">
        <v>2023</v>
      </c>
      <c r="B34" s="1" t="s">
        <v>7</v>
      </c>
      <c r="C34" s="1">
        <v>1250000</v>
      </c>
      <c r="D34" s="1">
        <v>750000</v>
      </c>
      <c r="E34" s="1">
        <v>160000</v>
      </c>
      <c r="F34" s="1">
        <v>64000</v>
      </c>
      <c r="G34" s="1">
        <v>46000</v>
      </c>
    </row>
    <row r="35" spans="1:7" x14ac:dyDescent="0.35">
      <c r="A35" s="1">
        <v>2023</v>
      </c>
      <c r="B35" s="1" t="s">
        <v>8</v>
      </c>
      <c r="C35" s="1">
        <v>1320000</v>
      </c>
      <c r="D35" s="1">
        <v>790000</v>
      </c>
      <c r="E35" s="1">
        <v>165000</v>
      </c>
      <c r="F35" s="1">
        <v>68000</v>
      </c>
      <c r="G35" s="1">
        <v>50000</v>
      </c>
    </row>
    <row r="36" spans="1:7" x14ac:dyDescent="0.35">
      <c r="A36" s="1">
        <v>2023</v>
      </c>
      <c r="B36" s="1" t="s">
        <v>9</v>
      </c>
      <c r="C36" s="1">
        <v>1380000</v>
      </c>
      <c r="D36" s="1">
        <v>830000</v>
      </c>
      <c r="E36" s="1">
        <v>170000</v>
      </c>
      <c r="F36" s="1">
        <v>72000</v>
      </c>
      <c r="G36" s="1">
        <v>53000</v>
      </c>
    </row>
    <row r="37" spans="1:7" x14ac:dyDescent="0.35">
      <c r="A37" s="1">
        <v>2023</v>
      </c>
      <c r="B37" s="1" t="s">
        <v>10</v>
      </c>
      <c r="C37" s="1">
        <v>1450000</v>
      </c>
      <c r="D37" s="1">
        <v>870000</v>
      </c>
      <c r="E37" s="1">
        <v>175000</v>
      </c>
      <c r="F37" s="1">
        <v>76000</v>
      </c>
      <c r="G37" s="1">
        <v>56000</v>
      </c>
    </row>
    <row r="38" spans="1:7" x14ac:dyDescent="0.35">
      <c r="A38" s="1">
        <v>2023</v>
      </c>
      <c r="B38" s="1" t="s">
        <v>11</v>
      </c>
      <c r="C38" s="1">
        <v>1620000</v>
      </c>
      <c r="D38" s="1">
        <v>960000</v>
      </c>
      <c r="E38" s="1">
        <v>185000</v>
      </c>
      <c r="F38" s="1">
        <v>85000</v>
      </c>
      <c r="G38" s="1">
        <v>62000</v>
      </c>
    </row>
    <row r="39" spans="1:7" x14ac:dyDescent="0.35">
      <c r="A39" s="1">
        <v>2024</v>
      </c>
      <c r="B39" s="1" t="s">
        <v>0</v>
      </c>
      <c r="C39" s="1">
        <v>1180000</v>
      </c>
      <c r="D39" s="1">
        <v>710000</v>
      </c>
      <c r="E39" s="1">
        <v>155000</v>
      </c>
      <c r="F39" s="1">
        <v>56000</v>
      </c>
      <c r="G39" s="1">
        <v>40000</v>
      </c>
    </row>
    <row r="40" spans="1:7" x14ac:dyDescent="0.35">
      <c r="A40" s="1">
        <v>2024</v>
      </c>
      <c r="B40" s="1" t="s">
        <v>1</v>
      </c>
      <c r="C40" s="1">
        <v>1150000</v>
      </c>
      <c r="D40" s="1">
        <v>700000</v>
      </c>
      <c r="E40" s="1">
        <v>152000</v>
      </c>
      <c r="F40" s="1">
        <v>54000</v>
      </c>
      <c r="G40" s="1">
        <v>38000</v>
      </c>
    </row>
    <row r="41" spans="1:7" x14ac:dyDescent="0.35">
      <c r="A41" s="1">
        <v>2024</v>
      </c>
      <c r="B41" s="1" t="s">
        <v>2</v>
      </c>
      <c r="C41" s="1">
        <v>1230000</v>
      </c>
      <c r="D41" s="1">
        <v>740000</v>
      </c>
      <c r="E41" s="1">
        <v>158000</v>
      </c>
      <c r="F41" s="1">
        <v>58000</v>
      </c>
      <c r="G41" s="1">
        <v>42000</v>
      </c>
    </row>
    <row r="42" spans="1:7" x14ac:dyDescent="0.35">
      <c r="A42" s="1">
        <v>2024</v>
      </c>
      <c r="B42" s="1" t="s">
        <v>3</v>
      </c>
      <c r="C42" s="1">
        <v>1270000</v>
      </c>
      <c r="D42" s="1">
        <v>760000</v>
      </c>
      <c r="E42" s="1">
        <v>160000</v>
      </c>
      <c r="F42" s="1">
        <v>60000</v>
      </c>
      <c r="G42" s="1">
        <v>44000</v>
      </c>
    </row>
    <row r="43" spans="1:7" x14ac:dyDescent="0.35">
      <c r="A43" s="1">
        <v>2024</v>
      </c>
      <c r="B43" s="1" t="s">
        <v>4</v>
      </c>
      <c r="C43" s="1">
        <v>1320000</v>
      </c>
      <c r="D43" s="1">
        <v>790000</v>
      </c>
      <c r="E43" s="1">
        <v>165000</v>
      </c>
      <c r="F43" s="1">
        <v>63000</v>
      </c>
      <c r="G43" s="1">
        <v>47000</v>
      </c>
    </row>
    <row r="44" spans="1:7" x14ac:dyDescent="0.35">
      <c r="A44" s="1">
        <v>2024</v>
      </c>
      <c r="B44" s="1" t="s">
        <v>5</v>
      </c>
      <c r="C44" s="1">
        <v>1360000</v>
      </c>
      <c r="D44" s="1">
        <v>820000</v>
      </c>
      <c r="E44" s="1">
        <v>168000</v>
      </c>
      <c r="F44" s="1">
        <v>66000</v>
      </c>
      <c r="G44" s="1">
        <v>50000</v>
      </c>
    </row>
    <row r="45" spans="1:7" x14ac:dyDescent="0.35">
      <c r="A45" s="1">
        <v>2024</v>
      </c>
      <c r="B45" s="1" t="s">
        <v>6</v>
      </c>
      <c r="C45" s="1">
        <v>1410000</v>
      </c>
      <c r="D45" s="1">
        <v>850000</v>
      </c>
      <c r="E45" s="1">
        <v>170000</v>
      </c>
      <c r="F45" s="1">
        <v>69000</v>
      </c>
      <c r="G45" s="1">
        <v>52000</v>
      </c>
    </row>
    <row r="46" spans="1:7" x14ac:dyDescent="0.35">
      <c r="A46" s="1">
        <v>2024</v>
      </c>
      <c r="B46" s="1" t="s">
        <v>7</v>
      </c>
      <c r="C46" s="1">
        <v>1390000</v>
      </c>
      <c r="D46" s="1">
        <v>840000</v>
      </c>
      <c r="E46" s="1">
        <v>168000</v>
      </c>
      <c r="F46" s="1">
        <v>68000</v>
      </c>
      <c r="G46" s="1">
        <v>51000</v>
      </c>
    </row>
    <row r="47" spans="1:7" x14ac:dyDescent="0.35">
      <c r="A47" s="1">
        <v>2024</v>
      </c>
      <c r="B47" s="1" t="s">
        <v>8</v>
      </c>
      <c r="C47" s="1">
        <v>1460000</v>
      </c>
      <c r="D47" s="1">
        <v>880000</v>
      </c>
      <c r="E47" s="1">
        <v>172000</v>
      </c>
      <c r="F47" s="1">
        <v>72000</v>
      </c>
      <c r="G47" s="1">
        <v>55000</v>
      </c>
    </row>
    <row r="48" spans="1:7" x14ac:dyDescent="0.35">
      <c r="A48" s="1">
        <v>2024</v>
      </c>
      <c r="B48" s="1" t="s">
        <v>9</v>
      </c>
      <c r="C48" s="1">
        <v>1520000</v>
      </c>
      <c r="D48" s="1">
        <v>920000</v>
      </c>
      <c r="E48" s="1">
        <v>178000</v>
      </c>
      <c r="F48" s="1">
        <v>76000</v>
      </c>
      <c r="G48" s="1">
        <v>58000</v>
      </c>
    </row>
    <row r="49" spans="1:7" x14ac:dyDescent="0.35">
      <c r="A49" s="1">
        <v>2024</v>
      </c>
      <c r="B49" s="1" t="s">
        <v>10</v>
      </c>
      <c r="C49" s="1">
        <v>1600000</v>
      </c>
      <c r="D49" s="1">
        <v>960000</v>
      </c>
      <c r="E49" s="1">
        <v>182000</v>
      </c>
      <c r="F49" s="1">
        <v>80000</v>
      </c>
      <c r="G49" s="1">
        <v>61000</v>
      </c>
    </row>
    <row r="50" spans="1:7" x14ac:dyDescent="0.35">
      <c r="A50" s="1">
        <v>2024</v>
      </c>
      <c r="B50" s="1" t="s">
        <v>11</v>
      </c>
      <c r="C50" s="1">
        <v>1780000</v>
      </c>
      <c r="D50" s="1">
        <v>1050000</v>
      </c>
      <c r="E50" s="1">
        <v>190000</v>
      </c>
      <c r="F50" s="1">
        <v>90000</v>
      </c>
      <c r="G50" s="1">
        <v>68000</v>
      </c>
    </row>
    <row r="51" spans="1:7" x14ac:dyDescent="0.35">
      <c r="A51" s="1">
        <v>2025</v>
      </c>
      <c r="B51" s="1" t="s">
        <v>0</v>
      </c>
      <c r="C51" s="1">
        <v>1300000</v>
      </c>
      <c r="D51" s="1">
        <v>780000</v>
      </c>
      <c r="E51" s="1">
        <v>160000</v>
      </c>
      <c r="F51" s="1">
        <v>60000</v>
      </c>
      <c r="G51" s="1">
        <v>44000</v>
      </c>
    </row>
    <row r="52" spans="1:7" x14ac:dyDescent="0.35">
      <c r="A52" s="1">
        <v>2025</v>
      </c>
      <c r="B52" s="1" t="s">
        <v>1</v>
      </c>
      <c r="C52" s="1">
        <v>1280000</v>
      </c>
      <c r="D52" s="1">
        <v>770000</v>
      </c>
      <c r="E52" s="1">
        <v>158000</v>
      </c>
      <c r="F52" s="1">
        <v>58000</v>
      </c>
      <c r="G52" s="1">
        <v>42000</v>
      </c>
    </row>
    <row r="53" spans="1:7" x14ac:dyDescent="0.35">
      <c r="A53" s="1">
        <v>2025</v>
      </c>
      <c r="B53" s="1" t="s">
        <v>2</v>
      </c>
      <c r="C53" s="1">
        <v>1350000</v>
      </c>
      <c r="D53" s="1">
        <v>810000</v>
      </c>
      <c r="E53" s="1">
        <v>162000</v>
      </c>
      <c r="F53" s="1">
        <v>62000</v>
      </c>
      <c r="G53" s="1">
        <v>46000</v>
      </c>
    </row>
    <row r="54" spans="1:7" x14ac:dyDescent="0.35">
      <c r="A54" s="1">
        <v>2025</v>
      </c>
      <c r="B54" s="1" t="s">
        <v>3</v>
      </c>
      <c r="C54" s="1">
        <v>1400000</v>
      </c>
      <c r="D54" s="1">
        <v>840000</v>
      </c>
      <c r="E54" s="1">
        <v>165000</v>
      </c>
      <c r="F54" s="1">
        <v>65000</v>
      </c>
      <c r="G54" s="1">
        <v>48000</v>
      </c>
    </row>
    <row r="55" spans="1:7" x14ac:dyDescent="0.35">
      <c r="A55" s="1">
        <v>2025</v>
      </c>
      <c r="B55" s="1" t="s">
        <v>4</v>
      </c>
      <c r="C55" s="1">
        <v>1450000</v>
      </c>
      <c r="D55" s="1">
        <v>870000</v>
      </c>
      <c r="E55" s="1">
        <v>168000</v>
      </c>
      <c r="F55" s="1">
        <v>68000</v>
      </c>
      <c r="G55" s="1">
        <v>51000</v>
      </c>
    </row>
    <row r="56" spans="1:7" x14ac:dyDescent="0.35">
      <c r="A56" s="1">
        <v>2025</v>
      </c>
      <c r="B56" s="1" t="s">
        <v>5</v>
      </c>
      <c r="C56" s="1">
        <v>1600000</v>
      </c>
      <c r="D56" s="1">
        <v>900000</v>
      </c>
      <c r="E56" s="1">
        <v>150000</v>
      </c>
      <c r="F56" s="1">
        <v>71000</v>
      </c>
      <c r="G56" s="1">
        <v>54000</v>
      </c>
    </row>
    <row r="57" spans="1:7" x14ac:dyDescent="0.35">
      <c r="A57" s="1">
        <v>2025</v>
      </c>
      <c r="B57" s="1" t="s">
        <v>6</v>
      </c>
      <c r="C57" s="1">
        <v>980000</v>
      </c>
      <c r="D57" s="1">
        <v>590000</v>
      </c>
      <c r="E57" s="1">
        <v>152000</v>
      </c>
      <c r="F57" s="1">
        <v>52000</v>
      </c>
      <c r="G57" s="1">
        <v>35000</v>
      </c>
    </row>
    <row r="58" spans="1:7" x14ac:dyDescent="0.35">
      <c r="A58" s="1">
        <v>2025</v>
      </c>
      <c r="B58" s="1" t="s">
        <v>7</v>
      </c>
      <c r="C58" s="1">
        <v>960000</v>
      </c>
      <c r="D58" s="1">
        <v>580000</v>
      </c>
      <c r="E58" s="1">
        <v>150000</v>
      </c>
      <c r="F58" s="1">
        <v>51000</v>
      </c>
      <c r="G58" s="1">
        <v>34000</v>
      </c>
    </row>
    <row r="59" spans="1:7" x14ac:dyDescent="0.35">
      <c r="A59" s="1">
        <v>2025</v>
      </c>
      <c r="B59" s="1" t="s">
        <v>8</v>
      </c>
      <c r="C59" s="1">
        <v>1020000</v>
      </c>
      <c r="D59" s="1">
        <v>610000</v>
      </c>
      <c r="E59" s="1">
        <v>155000</v>
      </c>
      <c r="F59" s="1">
        <v>54000</v>
      </c>
      <c r="G59" s="1">
        <v>36000</v>
      </c>
    </row>
    <row r="60" spans="1:7" x14ac:dyDescent="0.35">
      <c r="A60" s="1">
        <v>2025</v>
      </c>
      <c r="B60" s="1" t="s">
        <v>9</v>
      </c>
      <c r="C60" s="1">
        <v>1520000</v>
      </c>
      <c r="D60" s="1">
        <v>920000</v>
      </c>
      <c r="E60" s="1">
        <v>178000</v>
      </c>
      <c r="F60" s="1">
        <v>76000</v>
      </c>
      <c r="G60" s="1">
        <v>58000</v>
      </c>
    </row>
    <row r="61" spans="1:7" x14ac:dyDescent="0.35">
      <c r="A61" s="1">
        <v>2025</v>
      </c>
      <c r="B61" s="1" t="s">
        <v>10</v>
      </c>
      <c r="C61" s="1">
        <v>1600000</v>
      </c>
      <c r="D61" s="1">
        <v>960000</v>
      </c>
      <c r="E61" s="1">
        <v>182000</v>
      </c>
      <c r="F61" s="1">
        <v>80000</v>
      </c>
      <c r="G61" s="1">
        <v>61000</v>
      </c>
    </row>
    <row r="62" spans="1:7" x14ac:dyDescent="0.35">
      <c r="A62" s="1">
        <v>2025</v>
      </c>
      <c r="B62" s="1" t="s">
        <v>11</v>
      </c>
      <c r="C62" s="1">
        <v>1740000</v>
      </c>
      <c r="D62" s="1">
        <v>1090000</v>
      </c>
      <c r="E62" s="1">
        <v>190000</v>
      </c>
      <c r="F62" s="1">
        <v>95000</v>
      </c>
      <c r="G62" s="1">
        <v>70000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D24A-96BA-4541-BC70-3D50CDEA7187}">
  <dimension ref="B3:L77"/>
  <sheetViews>
    <sheetView workbookViewId="0">
      <selection activeCell="I20" sqref="I20"/>
    </sheetView>
  </sheetViews>
  <sheetFormatPr defaultRowHeight="14.5" x14ac:dyDescent="0.35"/>
  <cols>
    <col min="1" max="1" width="4.7265625" customWidth="1"/>
    <col min="2" max="2" width="8.81640625" bestFit="1" customWidth="1"/>
    <col min="3" max="3" width="22.26953125" bestFit="1" customWidth="1"/>
    <col min="4" max="4" width="3" customWidth="1"/>
    <col min="5" max="5" width="8.81640625" bestFit="1" customWidth="1"/>
    <col min="6" max="6" width="12.7265625" bestFit="1" customWidth="1"/>
    <col min="7" max="7" width="13.81640625" bestFit="1" customWidth="1"/>
    <col min="8" max="8" width="3" customWidth="1"/>
    <col min="9" max="9" width="6.81640625" bestFit="1" customWidth="1"/>
    <col min="10" max="10" width="20.36328125" bestFit="1" customWidth="1"/>
    <col min="11" max="11" width="24.1796875" bestFit="1" customWidth="1"/>
    <col min="12" max="12" width="23.90625" bestFit="1" customWidth="1"/>
    <col min="13" max="13" width="4.08984375" bestFit="1" customWidth="1"/>
    <col min="14" max="14" width="3.90625" bestFit="1" customWidth="1"/>
    <col min="15" max="15" width="10.7265625" bestFit="1" customWidth="1"/>
    <col min="16" max="17" width="12.453125" bestFit="1" customWidth="1"/>
    <col min="18" max="18" width="10.81640625" bestFit="1" customWidth="1"/>
    <col min="19" max="31" width="11.81640625" bestFit="1" customWidth="1"/>
    <col min="32" max="32" width="10.81640625" bestFit="1" customWidth="1"/>
    <col min="33" max="33" width="11.81640625" bestFit="1" customWidth="1"/>
    <col min="34" max="34" width="10.81640625" bestFit="1" customWidth="1"/>
    <col min="35" max="38" width="11.81640625" bestFit="1" customWidth="1"/>
    <col min="39" max="39" width="9.81640625" bestFit="1" customWidth="1"/>
    <col min="40" max="40" width="5.81640625" bestFit="1" customWidth="1"/>
    <col min="41" max="43" width="11.81640625" bestFit="1" customWidth="1"/>
    <col min="44" max="44" width="6.81640625" bestFit="1" customWidth="1"/>
    <col min="45" max="47" width="11.81640625" bestFit="1" customWidth="1"/>
    <col min="48" max="48" width="6.81640625" bestFit="1" customWidth="1"/>
    <col min="49" max="51" width="11.81640625" bestFit="1" customWidth="1"/>
    <col min="52" max="52" width="6.81640625" bestFit="1" customWidth="1"/>
    <col min="53" max="56" width="11.81640625" bestFit="1" customWidth="1"/>
    <col min="57" max="57" width="4.08984375" bestFit="1" customWidth="1"/>
    <col min="58" max="58" width="10.7265625" bestFit="1" customWidth="1"/>
    <col min="59" max="59" width="13.6328125" bestFit="1" customWidth="1"/>
    <col min="60" max="60" width="22.36328125" bestFit="1" customWidth="1"/>
    <col min="61" max="61" width="12.6328125" bestFit="1" customWidth="1"/>
    <col min="62" max="62" width="23.36328125" bestFit="1" customWidth="1"/>
    <col min="63" max="63" width="13.6328125" bestFit="1" customWidth="1"/>
    <col min="64" max="64" width="23.36328125" bestFit="1" customWidth="1"/>
    <col min="65" max="65" width="12.6328125" bestFit="1" customWidth="1"/>
    <col min="66" max="66" width="23.36328125" bestFit="1" customWidth="1"/>
    <col min="67" max="67" width="13.6328125" bestFit="1" customWidth="1"/>
    <col min="68" max="68" width="23.36328125" bestFit="1" customWidth="1"/>
    <col min="69" max="69" width="13.6328125" bestFit="1" customWidth="1"/>
    <col min="70" max="70" width="23.36328125" bestFit="1" customWidth="1"/>
    <col min="71" max="71" width="13.6328125" bestFit="1" customWidth="1"/>
    <col min="72" max="72" width="23.36328125" bestFit="1" customWidth="1"/>
    <col min="73" max="73" width="13.6328125" bestFit="1" customWidth="1"/>
    <col min="74" max="74" width="23.36328125" bestFit="1" customWidth="1"/>
    <col min="75" max="75" width="11.6328125" bestFit="1" customWidth="1"/>
    <col min="76" max="76" width="14.1796875" bestFit="1" customWidth="1"/>
    <col min="77" max="78" width="7.6328125" bestFit="1" customWidth="1"/>
    <col min="79" max="79" width="10.08984375" bestFit="1" customWidth="1"/>
    <col min="80" max="80" width="13.6328125" bestFit="1" customWidth="1"/>
    <col min="81" max="81" width="23.36328125" bestFit="1" customWidth="1"/>
    <col min="82" max="82" width="13.6328125" bestFit="1" customWidth="1"/>
    <col min="83" max="83" width="23.36328125" bestFit="1" customWidth="1"/>
    <col min="84" max="84" width="13.6328125" bestFit="1" customWidth="1"/>
    <col min="85" max="85" width="23.36328125" bestFit="1" customWidth="1"/>
    <col min="86" max="86" width="8.6328125" bestFit="1" customWidth="1"/>
    <col min="87" max="87" width="11.08984375" bestFit="1" customWidth="1"/>
    <col min="88" max="88" width="13.6328125" bestFit="1" customWidth="1"/>
    <col min="89" max="89" width="23.36328125" bestFit="1" customWidth="1"/>
    <col min="90" max="90" width="13.6328125" bestFit="1" customWidth="1"/>
    <col min="91" max="91" width="23.36328125" bestFit="1" customWidth="1"/>
    <col min="92" max="92" width="13.6328125" bestFit="1" customWidth="1"/>
    <col min="93" max="93" width="23.36328125" bestFit="1" customWidth="1"/>
    <col min="94" max="94" width="8.6328125" bestFit="1" customWidth="1"/>
    <col min="95" max="95" width="11.08984375" bestFit="1" customWidth="1"/>
    <col min="96" max="96" width="13.6328125" bestFit="1" customWidth="1"/>
    <col min="97" max="97" width="23.36328125" bestFit="1" customWidth="1"/>
    <col min="98" max="98" width="13.6328125" bestFit="1" customWidth="1"/>
    <col min="99" max="99" width="23.36328125" bestFit="1" customWidth="1"/>
    <col min="100" max="100" width="13.6328125" bestFit="1" customWidth="1"/>
    <col min="101" max="101" width="22.36328125" bestFit="1" customWidth="1"/>
    <col min="102" max="102" width="8.6328125" bestFit="1" customWidth="1"/>
    <col min="103" max="103" width="11.08984375" bestFit="1" customWidth="1"/>
    <col min="104" max="104" width="13.6328125" bestFit="1" customWidth="1"/>
    <col min="105" max="105" width="22.36328125" bestFit="1" customWidth="1"/>
    <col min="106" max="106" width="13.6328125" bestFit="1" customWidth="1"/>
    <col min="107" max="107" width="22.36328125" bestFit="1" customWidth="1"/>
    <col min="108" max="108" width="13.6328125" bestFit="1" customWidth="1"/>
    <col min="109" max="109" width="22.36328125" bestFit="1" customWidth="1"/>
    <col min="110" max="110" width="13.6328125" bestFit="1" customWidth="1"/>
    <col min="111" max="111" width="22.36328125" bestFit="1" customWidth="1"/>
    <col min="112" max="112" width="5.90625" bestFit="1" customWidth="1"/>
    <col min="113" max="113" width="8.81640625" bestFit="1" customWidth="1"/>
    <col min="114" max="114" width="10.7265625" bestFit="1" customWidth="1"/>
  </cols>
  <sheetData>
    <row r="3" spans="2:12" x14ac:dyDescent="0.35">
      <c r="B3" s="3" t="s">
        <v>13</v>
      </c>
      <c r="C3" t="s">
        <v>39</v>
      </c>
      <c r="E3" s="3" t="s">
        <v>13</v>
      </c>
      <c r="F3" t="s">
        <v>28</v>
      </c>
      <c r="G3" t="s">
        <v>29</v>
      </c>
      <c r="I3" s="3" t="s">
        <v>12</v>
      </c>
      <c r="J3" t="s">
        <v>26</v>
      </c>
      <c r="K3" t="s">
        <v>27</v>
      </c>
      <c r="L3" t="s">
        <v>25</v>
      </c>
    </row>
    <row r="4" spans="2:12" x14ac:dyDescent="0.35">
      <c r="B4" t="s">
        <v>0</v>
      </c>
      <c r="C4" s="43">
        <v>-0.28102902311703809</v>
      </c>
      <c r="E4" t="s">
        <v>0</v>
      </c>
      <c r="F4" s="5">
        <v>5300000</v>
      </c>
      <c r="G4" s="5">
        <v>928000</v>
      </c>
      <c r="I4" s="4">
        <v>2021</v>
      </c>
      <c r="J4" s="5">
        <v>411500</v>
      </c>
      <c r="K4" s="5">
        <v>625000</v>
      </c>
      <c r="L4" s="5">
        <v>1820000</v>
      </c>
    </row>
    <row r="5" spans="2:12" x14ac:dyDescent="0.35">
      <c r="B5" t="s">
        <v>1</v>
      </c>
      <c r="C5" s="43">
        <v>-2.5282604170288943E-2</v>
      </c>
      <c r="E5" t="s">
        <v>1</v>
      </c>
      <c r="F5" s="5">
        <v>5170000</v>
      </c>
      <c r="G5" s="5">
        <v>881000</v>
      </c>
      <c r="I5" s="4">
        <v>2022</v>
      </c>
      <c r="J5" s="5">
        <v>490000</v>
      </c>
      <c r="K5" s="5">
        <v>708000</v>
      </c>
      <c r="L5" s="5">
        <v>1898000</v>
      </c>
    </row>
    <row r="6" spans="2:12" x14ac:dyDescent="0.35">
      <c r="B6" t="s">
        <v>2</v>
      </c>
      <c r="C6" s="43">
        <v>7.782679088779379E-2</v>
      </c>
      <c r="E6" t="s">
        <v>2</v>
      </c>
      <c r="F6" s="5">
        <v>5560000</v>
      </c>
      <c r="G6" s="5">
        <v>994000</v>
      </c>
      <c r="I6" s="4">
        <v>2023</v>
      </c>
      <c r="J6" s="5">
        <v>548000</v>
      </c>
      <c r="K6" s="5">
        <v>763000</v>
      </c>
      <c r="L6" s="5">
        <v>1940000</v>
      </c>
    </row>
    <row r="7" spans="2:12" x14ac:dyDescent="0.35">
      <c r="B7" t="s">
        <v>3</v>
      </c>
      <c r="C7" s="43">
        <v>2.0639982033710258E-2</v>
      </c>
      <c r="E7" t="s">
        <v>3</v>
      </c>
      <c r="F7" s="5">
        <v>5690000</v>
      </c>
      <c r="G7" s="5">
        <v>1026500</v>
      </c>
      <c r="I7" s="4">
        <v>2024</v>
      </c>
      <c r="J7" s="5">
        <v>606000</v>
      </c>
      <c r="K7" s="5">
        <v>812000</v>
      </c>
      <c r="L7" s="5">
        <v>2018000</v>
      </c>
    </row>
    <row r="8" spans="2:12" x14ac:dyDescent="0.35">
      <c r="B8" t="s">
        <v>4</v>
      </c>
      <c r="C8" s="43">
        <v>4.3429659723110879E-2</v>
      </c>
      <c r="E8" t="s">
        <v>4</v>
      </c>
      <c r="F8" s="5">
        <v>5930000</v>
      </c>
      <c r="G8" s="5">
        <v>1073000</v>
      </c>
      <c r="I8" s="4">
        <v>2025</v>
      </c>
      <c r="J8" s="5">
        <v>579000</v>
      </c>
      <c r="K8" s="5">
        <v>792000</v>
      </c>
      <c r="L8" s="5">
        <v>1970000</v>
      </c>
    </row>
    <row r="9" spans="2:12" x14ac:dyDescent="0.35">
      <c r="B9" t="s">
        <v>5</v>
      </c>
      <c r="C9" s="43">
        <v>4.7598831191724547E-2</v>
      </c>
      <c r="E9" t="s">
        <v>5</v>
      </c>
      <c r="F9" s="5">
        <v>6230000</v>
      </c>
      <c r="G9" s="5">
        <v>1236000</v>
      </c>
    </row>
    <row r="10" spans="2:12" x14ac:dyDescent="0.35">
      <c r="B10" t="s">
        <v>6</v>
      </c>
      <c r="C10" s="43">
        <v>-4.8361820765642521E-2</v>
      </c>
      <c r="E10" t="s">
        <v>6</v>
      </c>
      <c r="F10" s="5">
        <v>5780000</v>
      </c>
      <c r="G10" s="5">
        <v>995000</v>
      </c>
    </row>
    <row r="11" spans="2:12" x14ac:dyDescent="0.35">
      <c r="B11" t="s">
        <v>7</v>
      </c>
      <c r="C11" s="43">
        <v>-1.7658522967783717E-2</v>
      </c>
      <c r="E11" t="s">
        <v>7</v>
      </c>
      <c r="F11" s="5">
        <v>5680000</v>
      </c>
      <c r="G11" s="5">
        <v>965000</v>
      </c>
    </row>
    <row r="12" spans="2:12" x14ac:dyDescent="0.35">
      <c r="B12" t="s">
        <v>8</v>
      </c>
      <c r="C12" s="43">
        <v>5.6986228160328875E-2</v>
      </c>
      <c r="E12" t="s">
        <v>8</v>
      </c>
      <c r="F12" s="5">
        <v>6000000</v>
      </c>
      <c r="G12" s="5">
        <v>1059000</v>
      </c>
    </row>
    <row r="13" spans="2:12" x14ac:dyDescent="0.35">
      <c r="B13" t="s">
        <v>9</v>
      </c>
      <c r="C13" s="43">
        <v>0.13897841552138934</v>
      </c>
      <c r="E13" t="s">
        <v>9</v>
      </c>
      <c r="F13" s="5">
        <v>6750000</v>
      </c>
      <c r="G13" s="5">
        <v>1222000</v>
      </c>
      <c r="I13" s="43"/>
    </row>
    <row r="14" spans="2:12" x14ac:dyDescent="0.35">
      <c r="B14" t="s">
        <v>10</v>
      </c>
      <c r="C14" s="43">
        <v>5.5360522078142217E-2</v>
      </c>
      <c r="E14" t="s">
        <v>10</v>
      </c>
      <c r="F14" s="5">
        <v>7120000</v>
      </c>
      <c r="G14" s="5">
        <v>1336000</v>
      </c>
    </row>
    <row r="15" spans="2:12" x14ac:dyDescent="0.35">
      <c r="B15" t="s">
        <v>11</v>
      </c>
      <c r="C15" s="43">
        <v>0.11377765662623233</v>
      </c>
      <c r="E15" t="s">
        <v>11</v>
      </c>
      <c r="F15" s="5">
        <v>7920000</v>
      </c>
      <c r="G15" s="5">
        <v>1519000</v>
      </c>
    </row>
    <row r="17" spans="2:9" x14ac:dyDescent="0.35">
      <c r="B17" s="3" t="s">
        <v>13</v>
      </c>
      <c r="C17" t="s">
        <v>30</v>
      </c>
      <c r="E17" s="9" t="s">
        <v>14</v>
      </c>
      <c r="F17" s="9" t="s">
        <v>22</v>
      </c>
    </row>
    <row r="18" spans="2:9" x14ac:dyDescent="0.35">
      <c r="B18" s="4" t="s">
        <v>0</v>
      </c>
      <c r="C18" s="6">
        <v>0.86160410629871809</v>
      </c>
      <c r="E18" s="12">
        <v>850000</v>
      </c>
      <c r="F18" s="12">
        <v>215000</v>
      </c>
    </row>
    <row r="19" spans="2:9" x14ac:dyDescent="0.35">
      <c r="B19" s="4" t="s">
        <v>1</v>
      </c>
      <c r="C19" s="6">
        <v>0.83618557187809728</v>
      </c>
      <c r="E19" s="17">
        <v>820000</v>
      </c>
      <c r="F19" s="17">
        <v>208000</v>
      </c>
    </row>
    <row r="20" spans="2:9" x14ac:dyDescent="0.35">
      <c r="B20" s="4" t="s">
        <v>2</v>
      </c>
      <c r="C20" s="6">
        <v>0.88126682454208582</v>
      </c>
      <c r="E20" s="12">
        <v>900000</v>
      </c>
      <c r="F20" s="12">
        <v>223000</v>
      </c>
      <c r="I20" s="43"/>
    </row>
    <row r="21" spans="2:9" x14ac:dyDescent="0.35">
      <c r="B21" s="4" t="s">
        <v>3</v>
      </c>
      <c r="C21" s="6">
        <v>0.88541045590537093</v>
      </c>
      <c r="E21" s="17">
        <v>870000</v>
      </c>
      <c r="F21" s="17">
        <v>217500</v>
      </c>
    </row>
    <row r="22" spans="2:9" x14ac:dyDescent="0.35">
      <c r="B22" s="4" t="s">
        <v>4</v>
      </c>
      <c r="C22" s="6">
        <v>0.89067632005144626</v>
      </c>
      <c r="E22" s="12">
        <v>920000</v>
      </c>
      <c r="F22" s="12">
        <v>228000</v>
      </c>
    </row>
    <row r="23" spans="2:9" x14ac:dyDescent="0.35">
      <c r="B23" s="4" t="s">
        <v>5</v>
      </c>
      <c r="C23" s="6">
        <v>0.9594764208726867</v>
      </c>
      <c r="E23" s="17">
        <v>950000</v>
      </c>
      <c r="F23" s="17">
        <v>233000</v>
      </c>
    </row>
    <row r="24" spans="2:9" x14ac:dyDescent="0.35">
      <c r="B24" s="4" t="s">
        <v>6</v>
      </c>
      <c r="C24" s="6">
        <v>0.84968245950539179</v>
      </c>
      <c r="E24" s="12">
        <v>980000</v>
      </c>
      <c r="F24" s="12">
        <v>239000</v>
      </c>
    </row>
    <row r="25" spans="2:9" x14ac:dyDescent="0.35">
      <c r="B25" s="4" t="s">
        <v>7</v>
      </c>
      <c r="C25" s="6">
        <v>0.83779196642685849</v>
      </c>
      <c r="E25" s="17">
        <v>960000</v>
      </c>
      <c r="F25" s="17">
        <v>235000</v>
      </c>
    </row>
    <row r="26" spans="2:9" x14ac:dyDescent="0.35">
      <c r="B26" s="4" t="s">
        <v>8</v>
      </c>
      <c r="C26" s="6">
        <v>0.87345536036142302</v>
      </c>
      <c r="E26" s="12">
        <v>1020000</v>
      </c>
      <c r="F26" s="12">
        <v>245000</v>
      </c>
    </row>
    <row r="27" spans="2:9" x14ac:dyDescent="0.35">
      <c r="B27" s="4" t="s">
        <v>9</v>
      </c>
      <c r="C27" s="6">
        <v>0.89844108822781599</v>
      </c>
      <c r="E27" s="17">
        <v>1080000</v>
      </c>
      <c r="F27" s="17">
        <v>256000</v>
      </c>
    </row>
    <row r="28" spans="2:9" x14ac:dyDescent="0.35">
      <c r="B28" s="4" t="s">
        <v>10</v>
      </c>
      <c r="C28" s="6">
        <v>0.93113982781336602</v>
      </c>
      <c r="E28" s="12">
        <v>1150000</v>
      </c>
      <c r="F28" s="12">
        <v>267000</v>
      </c>
    </row>
    <row r="29" spans="2:9" x14ac:dyDescent="0.35">
      <c r="B29" s="4" t="s">
        <v>11</v>
      </c>
      <c r="C29" s="6">
        <v>0.95543107607552913</v>
      </c>
      <c r="E29" s="17">
        <v>1300000</v>
      </c>
      <c r="F29" s="17">
        <v>290000</v>
      </c>
    </row>
    <row r="30" spans="2:9" x14ac:dyDescent="0.35">
      <c r="E30" s="12">
        <v>920000</v>
      </c>
      <c r="F30" s="12">
        <v>224000</v>
      </c>
    </row>
    <row r="31" spans="2:9" x14ac:dyDescent="0.35">
      <c r="E31" s="17">
        <v>900000</v>
      </c>
      <c r="F31" s="17">
        <v>217000</v>
      </c>
    </row>
    <row r="32" spans="2:9" x14ac:dyDescent="0.35">
      <c r="E32" s="12">
        <v>980000</v>
      </c>
      <c r="F32" s="12">
        <v>231000</v>
      </c>
    </row>
    <row r="33" spans="5:6" x14ac:dyDescent="0.35">
      <c r="E33" s="17">
        <v>1010000</v>
      </c>
      <c r="F33" s="17">
        <v>238000</v>
      </c>
    </row>
    <row r="34" spans="5:6" x14ac:dyDescent="0.35">
      <c r="E34" s="12">
        <v>1060000</v>
      </c>
      <c r="F34" s="12">
        <v>248000</v>
      </c>
    </row>
    <row r="35" spans="5:6" x14ac:dyDescent="0.35">
      <c r="E35" s="17">
        <v>1100000</v>
      </c>
      <c r="F35" s="17">
        <v>256000</v>
      </c>
    </row>
    <row r="36" spans="5:6" x14ac:dyDescent="0.35">
      <c r="E36" s="12">
        <v>1140000</v>
      </c>
      <c r="F36" s="12">
        <v>262000</v>
      </c>
    </row>
    <row r="37" spans="5:6" x14ac:dyDescent="0.35">
      <c r="E37" s="17">
        <v>1120000</v>
      </c>
      <c r="F37" s="17">
        <v>258000</v>
      </c>
    </row>
    <row r="38" spans="5:6" x14ac:dyDescent="0.35">
      <c r="E38" s="12">
        <v>1180000</v>
      </c>
      <c r="F38" s="12">
        <v>269000</v>
      </c>
    </row>
    <row r="39" spans="5:6" x14ac:dyDescent="0.35">
      <c r="E39" s="17">
        <v>1250000</v>
      </c>
      <c r="F39" s="17">
        <v>283000</v>
      </c>
    </row>
    <row r="40" spans="5:6" x14ac:dyDescent="0.35">
      <c r="E40" s="12">
        <v>1320000</v>
      </c>
      <c r="F40" s="12">
        <v>294000</v>
      </c>
    </row>
    <row r="41" spans="5:6" x14ac:dyDescent="0.35">
      <c r="E41" s="17">
        <v>1480000</v>
      </c>
      <c r="F41" s="17">
        <v>316000</v>
      </c>
    </row>
    <row r="42" spans="5:6" x14ac:dyDescent="0.35">
      <c r="E42" s="12">
        <v>1050000</v>
      </c>
      <c r="F42" s="12">
        <v>238000</v>
      </c>
    </row>
    <row r="43" spans="5:6" x14ac:dyDescent="0.35">
      <c r="E43" s="17">
        <v>1020000</v>
      </c>
      <c r="F43" s="17">
        <v>232000</v>
      </c>
    </row>
    <row r="44" spans="5:6" x14ac:dyDescent="0.35">
      <c r="E44" s="12">
        <v>1100000</v>
      </c>
      <c r="F44" s="12">
        <v>244000</v>
      </c>
    </row>
    <row r="45" spans="5:6" x14ac:dyDescent="0.35">
      <c r="E45" s="17">
        <v>1140000</v>
      </c>
      <c r="F45" s="17">
        <v>251000</v>
      </c>
    </row>
    <row r="46" spans="5:6" x14ac:dyDescent="0.35">
      <c r="E46" s="12">
        <v>1180000</v>
      </c>
      <c r="F46" s="12">
        <v>259000</v>
      </c>
    </row>
    <row r="47" spans="5:6" x14ac:dyDescent="0.35">
      <c r="E47" s="17">
        <v>1220000</v>
      </c>
      <c r="F47" s="17">
        <v>266000</v>
      </c>
    </row>
    <row r="48" spans="5:6" x14ac:dyDescent="0.35">
      <c r="E48" s="12">
        <v>1270000</v>
      </c>
      <c r="F48" s="12">
        <v>274000</v>
      </c>
    </row>
    <row r="49" spans="5:6" x14ac:dyDescent="0.35">
      <c r="E49" s="17">
        <v>1250000</v>
      </c>
      <c r="F49" s="17">
        <v>270000</v>
      </c>
    </row>
    <row r="50" spans="5:6" x14ac:dyDescent="0.35">
      <c r="E50" s="12">
        <v>1320000</v>
      </c>
      <c r="F50" s="12">
        <v>283000</v>
      </c>
    </row>
    <row r="51" spans="5:6" x14ac:dyDescent="0.35">
      <c r="E51" s="17">
        <v>1380000</v>
      </c>
      <c r="F51" s="17">
        <v>295000</v>
      </c>
    </row>
    <row r="52" spans="5:6" x14ac:dyDescent="0.35">
      <c r="E52" s="12">
        <v>1450000</v>
      </c>
      <c r="F52" s="12">
        <v>307000</v>
      </c>
    </row>
    <row r="53" spans="5:6" x14ac:dyDescent="0.35">
      <c r="E53" s="17">
        <v>1620000</v>
      </c>
      <c r="F53" s="17">
        <v>332000</v>
      </c>
    </row>
    <row r="54" spans="5:6" x14ac:dyDescent="0.35">
      <c r="E54" s="12">
        <v>1180000</v>
      </c>
      <c r="F54" s="12">
        <v>251000</v>
      </c>
    </row>
    <row r="55" spans="5:6" x14ac:dyDescent="0.35">
      <c r="E55" s="17">
        <v>1150000</v>
      </c>
      <c r="F55" s="17">
        <v>244000</v>
      </c>
    </row>
    <row r="56" spans="5:6" x14ac:dyDescent="0.35">
      <c r="E56" s="12">
        <v>1230000</v>
      </c>
      <c r="F56" s="12">
        <v>258000</v>
      </c>
    </row>
    <row r="57" spans="5:6" x14ac:dyDescent="0.35">
      <c r="E57" s="17">
        <v>1270000</v>
      </c>
      <c r="F57" s="17">
        <v>264000</v>
      </c>
    </row>
    <row r="58" spans="5:6" x14ac:dyDescent="0.35">
      <c r="E58" s="12">
        <v>1320000</v>
      </c>
      <c r="F58" s="12">
        <v>275000</v>
      </c>
    </row>
    <row r="59" spans="5:6" x14ac:dyDescent="0.35">
      <c r="E59" s="17">
        <v>1360000</v>
      </c>
      <c r="F59" s="17">
        <v>284000</v>
      </c>
    </row>
    <row r="60" spans="5:6" x14ac:dyDescent="0.35">
      <c r="E60" s="12">
        <v>1410000</v>
      </c>
      <c r="F60" s="12">
        <v>291000</v>
      </c>
    </row>
    <row r="61" spans="5:6" x14ac:dyDescent="0.35">
      <c r="E61" s="17">
        <v>1390000</v>
      </c>
      <c r="F61" s="17">
        <v>287000</v>
      </c>
    </row>
    <row r="62" spans="5:6" x14ac:dyDescent="0.35">
      <c r="E62" s="12">
        <v>1460000</v>
      </c>
      <c r="F62" s="12">
        <v>299000</v>
      </c>
    </row>
    <row r="63" spans="5:6" x14ac:dyDescent="0.35">
      <c r="E63" s="17">
        <v>1520000</v>
      </c>
      <c r="F63" s="17">
        <v>312000</v>
      </c>
    </row>
    <row r="64" spans="5:6" x14ac:dyDescent="0.35">
      <c r="E64" s="12">
        <v>1600000</v>
      </c>
      <c r="F64" s="12">
        <v>323000</v>
      </c>
    </row>
    <row r="65" spans="5:6" x14ac:dyDescent="0.35">
      <c r="E65" s="17">
        <v>1780000</v>
      </c>
      <c r="F65" s="17">
        <v>348000</v>
      </c>
    </row>
    <row r="66" spans="5:6" x14ac:dyDescent="0.35">
      <c r="E66" s="12">
        <v>1300000</v>
      </c>
      <c r="F66" s="12">
        <v>264000</v>
      </c>
    </row>
    <row r="67" spans="5:6" x14ac:dyDescent="0.35">
      <c r="E67" s="17">
        <v>1280000</v>
      </c>
      <c r="F67" s="17">
        <v>258000</v>
      </c>
    </row>
    <row r="68" spans="5:6" x14ac:dyDescent="0.35">
      <c r="E68" s="12">
        <v>1350000</v>
      </c>
      <c r="F68" s="12">
        <v>270000</v>
      </c>
    </row>
    <row r="69" spans="5:6" x14ac:dyDescent="0.35">
      <c r="E69" s="17">
        <v>1400000</v>
      </c>
      <c r="F69" s="17">
        <v>278000</v>
      </c>
    </row>
    <row r="70" spans="5:6" x14ac:dyDescent="0.35">
      <c r="E70" s="12">
        <v>1450000</v>
      </c>
      <c r="F70" s="12">
        <v>287000</v>
      </c>
    </row>
    <row r="71" spans="5:6" x14ac:dyDescent="0.35">
      <c r="E71" s="17">
        <v>1600000</v>
      </c>
      <c r="F71" s="17">
        <v>275000</v>
      </c>
    </row>
    <row r="72" spans="5:6" x14ac:dyDescent="0.35">
      <c r="E72" s="12">
        <v>980000</v>
      </c>
      <c r="F72" s="12">
        <v>239000</v>
      </c>
    </row>
    <row r="73" spans="5:6" x14ac:dyDescent="0.35">
      <c r="E73" s="17">
        <v>960000</v>
      </c>
      <c r="F73" s="17">
        <v>235000</v>
      </c>
    </row>
    <row r="74" spans="5:6" x14ac:dyDescent="0.35">
      <c r="E74" s="12">
        <v>1020000</v>
      </c>
      <c r="F74" s="12">
        <v>245000</v>
      </c>
    </row>
    <row r="75" spans="5:6" x14ac:dyDescent="0.35">
      <c r="E75" s="17">
        <v>1520000</v>
      </c>
      <c r="F75" s="17">
        <v>312000</v>
      </c>
    </row>
    <row r="76" spans="5:6" x14ac:dyDescent="0.35">
      <c r="E76" s="12">
        <v>1600000</v>
      </c>
      <c r="F76" s="12">
        <v>323000</v>
      </c>
    </row>
    <row r="77" spans="5:6" x14ac:dyDescent="0.35">
      <c r="E77" s="23">
        <v>1740000</v>
      </c>
      <c r="F77" s="23">
        <v>355000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04A7-7A28-43A1-9BA9-2ED8D00317ED}">
  <dimension ref="A1:J24"/>
  <sheetViews>
    <sheetView showGridLines="0" topLeftCell="B1" zoomScaleNormal="100" workbookViewId="0">
      <selection activeCell="T8" sqref="S2:T8"/>
    </sheetView>
  </sheetViews>
  <sheetFormatPr defaultRowHeight="14.5" x14ac:dyDescent="0.35"/>
  <cols>
    <col min="1" max="1" width="8.7265625" hidden="1" customWidth="1"/>
    <col min="2" max="2" width="5.36328125" customWidth="1"/>
    <col min="5" max="5" width="13.26953125" bestFit="1" customWidth="1"/>
    <col min="7" max="7" width="13.7265625" bestFit="1" customWidth="1"/>
  </cols>
  <sheetData>
    <row r="1" spans="3:5" ht="16" thickBot="1" x14ac:dyDescent="0.4">
      <c r="C1" s="32" t="s">
        <v>36</v>
      </c>
    </row>
    <row r="2" spans="3:5" x14ac:dyDescent="0.35">
      <c r="C2" s="8"/>
      <c r="D2" s="8" t="s">
        <v>14</v>
      </c>
      <c r="E2" s="8" t="s">
        <v>22</v>
      </c>
    </row>
    <row r="3" spans="3:5" x14ac:dyDescent="0.35">
      <c r="C3" t="s">
        <v>14</v>
      </c>
      <c r="D3">
        <v>1</v>
      </c>
    </row>
    <row r="4" spans="3:5" ht="15" thickBot="1" x14ac:dyDescent="0.4">
      <c r="C4" s="7" t="s">
        <v>22</v>
      </c>
      <c r="D4" s="7">
        <v>0.95887030267263695</v>
      </c>
      <c r="E4" s="7">
        <v>1</v>
      </c>
    </row>
    <row r="6" spans="3:5" x14ac:dyDescent="0.35">
      <c r="C6" s="33" t="s">
        <v>37</v>
      </c>
    </row>
    <row r="7" spans="3:5" x14ac:dyDescent="0.35">
      <c r="C7" s="33" t="s">
        <v>38</v>
      </c>
    </row>
    <row r="23" spans="10:10" x14ac:dyDescent="0.35">
      <c r="J23" s="33" t="s">
        <v>40</v>
      </c>
    </row>
    <row r="24" spans="10:10" x14ac:dyDescent="0.35">
      <c r="J24" s="33" t="s">
        <v>41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OVERVIEW</vt:lpstr>
      <vt:lpstr>DASHBOARD</vt:lpstr>
      <vt:lpstr>INSIGHTS</vt:lpstr>
      <vt:lpstr>CLEANED DATA</vt:lpstr>
      <vt:lpstr>RAW DATA</vt:lpstr>
      <vt:lpstr>PIVOT TABLES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Okoha Elizabeth</dc:creator>
  <cp:lastModifiedBy>USER</cp:lastModifiedBy>
  <dcterms:created xsi:type="dcterms:W3CDTF">2026-01-23T11:01:40Z</dcterms:created>
  <dcterms:modified xsi:type="dcterms:W3CDTF">2026-03-05T09:16:20Z</dcterms:modified>
</cp:coreProperties>
</file>